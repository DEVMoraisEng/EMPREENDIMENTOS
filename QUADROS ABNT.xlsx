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esktop\DOCUMENTOS APROVAÇÃO EMPREEDIMENTOS\DOCUMENTOS INCIAIS\5 - QUADROS ABNT\"/>
    </mc:Choice>
  </mc:AlternateContent>
  <xr:revisionPtr revIDLastSave="0" documentId="8_{81D461C6-3676-468C-838A-607A299BDD9A}" xr6:coauthVersionLast="47" xr6:coauthVersionMax="47" xr10:uidLastSave="{00000000-0000-0000-0000-000000000000}"/>
  <bookViews>
    <workbookView xWindow="-108" yWindow="-108" windowWidth="23256" windowHeight="12456" tabRatio="976" xr2:uid="{00000000-000D-0000-FFFF-FFFF00000000}"/>
  </bookViews>
  <sheets>
    <sheet name="CAPA" sheetId="1" r:id="rId1"/>
    <sheet name="INFORMAÇÕES PRELIMINARES" sheetId="2" r:id="rId2"/>
    <sheet name="QUADRO I" sheetId="3" r:id="rId3"/>
    <sheet name="QUADRO II" sheetId="4" r:id="rId4"/>
    <sheet name="QUADRO III" sheetId="5" r:id="rId5"/>
    <sheet name="QUADRO IV A" sheetId="6" r:id="rId6"/>
    <sheet name="QUADRO IV B" sheetId="7" r:id="rId7"/>
    <sheet name="QUADRO IV B.1" sheetId="8" r:id="rId8"/>
    <sheet name="QUADRO V" sheetId="9" r:id="rId9"/>
    <sheet name="QUADRO VI" sheetId="10" r:id="rId10"/>
    <sheet name="QUADRO VII" sheetId="11" r:id="rId11"/>
    <sheet name="QUADRO VIII" sheetId="12" r:id="rId12"/>
  </sheets>
  <definedNames>
    <definedName name="_xlnm.Print_Area" localSheetId="0">CAPA!$A$1:$I$16</definedName>
    <definedName name="_xlnm.Print_Area" localSheetId="1">'INFORMAÇÕES PRELIMINARES'!$A$1:$M$53</definedName>
    <definedName name="_xlnm.Print_Area" localSheetId="2">'QUADRO I'!$A$1:$U$41</definedName>
    <definedName name="_xlnm.Print_Area" localSheetId="3">'QUADRO II'!$A$1:$W$21</definedName>
    <definedName name="_xlnm.Print_Area" localSheetId="4">'QUADRO III'!$A$1:$N$68</definedName>
    <definedName name="_xlnm.Print_Area" localSheetId="5">'QUADRO IV A'!$A$1:$P$82</definedName>
    <definedName name="_xlnm.Print_Area" localSheetId="6">'QUADRO IV B'!$A$1:$K$86</definedName>
    <definedName name="_xlnm.Print_Area" localSheetId="8">'QUADRO V'!$A$1:$M$42</definedName>
    <definedName name="_xlnm.Print_Area" localSheetId="9">'QUADRO VI'!$A$1:$M$21</definedName>
    <definedName name="_xlnm.Print_Area" localSheetId="10">'QUADRO VII'!$A$1:$M$19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  <c r="J10" i="12"/>
  <c r="J10" i="11"/>
  <c r="C10" i="11"/>
  <c r="K6" i="11"/>
  <c r="F32" i="9"/>
  <c r="D32" i="9"/>
  <c r="F31" i="9"/>
  <c r="D31" i="9"/>
  <c r="F30" i="9"/>
  <c r="D30" i="9"/>
  <c r="F29" i="9"/>
  <c r="D29" i="9"/>
  <c r="F28" i="9"/>
  <c r="D28" i="9"/>
  <c r="J10" i="9"/>
  <c r="C10" i="9"/>
  <c r="L78" i="8"/>
  <c r="I78" i="8"/>
  <c r="C78" i="8"/>
  <c r="L76" i="8"/>
  <c r="K76" i="8"/>
  <c r="F76" i="8"/>
  <c r="D76" i="8"/>
  <c r="C76" i="8"/>
  <c r="B76" i="8"/>
  <c r="L75" i="8"/>
  <c r="K75" i="8"/>
  <c r="F75" i="8"/>
  <c r="D75" i="8"/>
  <c r="C75" i="8"/>
  <c r="B75" i="8"/>
  <c r="L74" i="8"/>
  <c r="K74" i="8"/>
  <c r="F74" i="8"/>
  <c r="D74" i="8"/>
  <c r="C74" i="8"/>
  <c r="B74" i="8"/>
  <c r="L73" i="8"/>
  <c r="K73" i="8"/>
  <c r="F73" i="8"/>
  <c r="D73" i="8"/>
  <c r="C73" i="8"/>
  <c r="B73" i="8"/>
  <c r="L72" i="8"/>
  <c r="K72" i="8"/>
  <c r="F72" i="8"/>
  <c r="D72" i="8"/>
  <c r="C72" i="8"/>
  <c r="B72" i="8"/>
  <c r="L71" i="8"/>
  <c r="K71" i="8"/>
  <c r="F71" i="8"/>
  <c r="D71" i="8"/>
  <c r="C71" i="8"/>
  <c r="B71" i="8"/>
  <c r="L70" i="8"/>
  <c r="K70" i="8"/>
  <c r="F70" i="8"/>
  <c r="D70" i="8"/>
  <c r="C70" i="8"/>
  <c r="B70" i="8"/>
  <c r="L69" i="8"/>
  <c r="K69" i="8"/>
  <c r="F69" i="8"/>
  <c r="D69" i="8"/>
  <c r="C69" i="8"/>
  <c r="B69" i="8"/>
  <c r="L68" i="8"/>
  <c r="K68" i="8"/>
  <c r="F68" i="8"/>
  <c r="D68" i="8"/>
  <c r="C68" i="8"/>
  <c r="B68" i="8"/>
  <c r="L67" i="8"/>
  <c r="K67" i="8"/>
  <c r="F67" i="8"/>
  <c r="D67" i="8"/>
  <c r="C67" i="8"/>
  <c r="B67" i="8"/>
  <c r="L66" i="8"/>
  <c r="K66" i="8"/>
  <c r="F66" i="8"/>
  <c r="D66" i="8"/>
  <c r="C66" i="8"/>
  <c r="B66" i="8"/>
  <c r="L65" i="8"/>
  <c r="K65" i="8"/>
  <c r="F65" i="8"/>
  <c r="D65" i="8"/>
  <c r="C65" i="8"/>
  <c r="B65" i="8"/>
  <c r="L64" i="8"/>
  <c r="K64" i="8"/>
  <c r="F64" i="8"/>
  <c r="D64" i="8"/>
  <c r="C64" i="8"/>
  <c r="B64" i="8"/>
  <c r="L63" i="8"/>
  <c r="K63" i="8"/>
  <c r="F63" i="8"/>
  <c r="D63" i="8"/>
  <c r="C63" i="8"/>
  <c r="B63" i="8"/>
  <c r="L62" i="8"/>
  <c r="K62" i="8"/>
  <c r="F62" i="8"/>
  <c r="E62" i="8"/>
  <c r="D62" i="8"/>
  <c r="C62" i="8"/>
  <c r="B62" i="8"/>
  <c r="L61" i="8"/>
  <c r="K61" i="8"/>
  <c r="F61" i="8"/>
  <c r="D61" i="8"/>
  <c r="C61" i="8"/>
  <c r="B61" i="8"/>
  <c r="L60" i="8"/>
  <c r="K60" i="8"/>
  <c r="F60" i="8"/>
  <c r="D60" i="8"/>
  <c r="C60" i="8"/>
  <c r="B60" i="8"/>
  <c r="L59" i="8"/>
  <c r="K59" i="8"/>
  <c r="F59" i="8"/>
  <c r="D59" i="8"/>
  <c r="C59" i="8"/>
  <c r="B59" i="8"/>
  <c r="L58" i="8"/>
  <c r="K58" i="8"/>
  <c r="F58" i="8"/>
  <c r="D58" i="8"/>
  <c r="C58" i="8"/>
  <c r="B58" i="8"/>
  <c r="L57" i="8"/>
  <c r="K57" i="8"/>
  <c r="F57" i="8"/>
  <c r="C57" i="8"/>
  <c r="B57" i="8"/>
  <c r="L56" i="8"/>
  <c r="K56" i="8"/>
  <c r="F56" i="8"/>
  <c r="C56" i="8"/>
  <c r="B56" i="8"/>
  <c r="L55" i="8"/>
  <c r="K55" i="8"/>
  <c r="F55" i="8"/>
  <c r="C55" i="8"/>
  <c r="B55" i="8"/>
  <c r="L54" i="8"/>
  <c r="K54" i="8"/>
  <c r="F54" i="8"/>
  <c r="C54" i="8"/>
  <c r="B54" i="8"/>
  <c r="L53" i="8"/>
  <c r="K53" i="8"/>
  <c r="F53" i="8"/>
  <c r="C53" i="8"/>
  <c r="B53" i="8"/>
  <c r="L52" i="8"/>
  <c r="K52" i="8"/>
  <c r="F52" i="8"/>
  <c r="C52" i="8"/>
  <c r="B52" i="8"/>
  <c r="L51" i="8"/>
  <c r="K51" i="8"/>
  <c r="F51" i="8"/>
  <c r="C51" i="8"/>
  <c r="B51" i="8"/>
  <c r="L50" i="8"/>
  <c r="K50" i="8"/>
  <c r="F50" i="8"/>
  <c r="C50" i="8"/>
  <c r="B50" i="8"/>
  <c r="L49" i="8"/>
  <c r="K49" i="8"/>
  <c r="F49" i="8"/>
  <c r="C49" i="8"/>
  <c r="B49" i="8"/>
  <c r="L48" i="8"/>
  <c r="K48" i="8"/>
  <c r="F48" i="8"/>
  <c r="C48" i="8"/>
  <c r="B48" i="8"/>
  <c r="L47" i="8"/>
  <c r="K47" i="8"/>
  <c r="F47" i="8"/>
  <c r="C47" i="8"/>
  <c r="B47" i="8"/>
  <c r="L46" i="8"/>
  <c r="K46" i="8"/>
  <c r="F46" i="8"/>
  <c r="C46" i="8"/>
  <c r="B46" i="8"/>
  <c r="L45" i="8"/>
  <c r="K45" i="8"/>
  <c r="F45" i="8"/>
  <c r="C45" i="8"/>
  <c r="B45" i="8"/>
  <c r="L44" i="8"/>
  <c r="K44" i="8"/>
  <c r="F44" i="8"/>
  <c r="C44" i="8"/>
  <c r="B44" i="8"/>
  <c r="L43" i="8"/>
  <c r="K43" i="8"/>
  <c r="F43" i="8"/>
  <c r="C43" i="8"/>
  <c r="B43" i="8"/>
  <c r="L42" i="8"/>
  <c r="K42" i="8"/>
  <c r="F42" i="8"/>
  <c r="C42" i="8"/>
  <c r="B42" i="8"/>
  <c r="L41" i="8"/>
  <c r="K41" i="8"/>
  <c r="F41" i="8"/>
  <c r="C41" i="8"/>
  <c r="B41" i="8"/>
  <c r="L40" i="8"/>
  <c r="K40" i="8"/>
  <c r="F40" i="8"/>
  <c r="C40" i="8"/>
  <c r="B40" i="8"/>
  <c r="L39" i="8"/>
  <c r="K39" i="8"/>
  <c r="F39" i="8"/>
  <c r="C39" i="8"/>
  <c r="B39" i="8"/>
  <c r="L38" i="8"/>
  <c r="K38" i="8"/>
  <c r="F38" i="8"/>
  <c r="C38" i="8"/>
  <c r="B38" i="8"/>
  <c r="L37" i="8"/>
  <c r="K37" i="8"/>
  <c r="F37" i="8"/>
  <c r="C37" i="8"/>
  <c r="B37" i="8"/>
  <c r="L36" i="8"/>
  <c r="K36" i="8"/>
  <c r="F36" i="8"/>
  <c r="C36" i="8"/>
  <c r="B36" i="8"/>
  <c r="L35" i="8"/>
  <c r="K35" i="8"/>
  <c r="F35" i="8"/>
  <c r="C35" i="8"/>
  <c r="B35" i="8"/>
  <c r="L34" i="8"/>
  <c r="K34" i="8"/>
  <c r="F34" i="8"/>
  <c r="C34" i="8"/>
  <c r="B34" i="8"/>
  <c r="L33" i="8"/>
  <c r="K33" i="8"/>
  <c r="F33" i="8"/>
  <c r="C33" i="8"/>
  <c r="B33" i="8"/>
  <c r="L32" i="8"/>
  <c r="K32" i="8"/>
  <c r="F32" i="8"/>
  <c r="C32" i="8"/>
  <c r="B32" i="8"/>
  <c r="L31" i="8"/>
  <c r="K31" i="8"/>
  <c r="F31" i="8"/>
  <c r="C31" i="8"/>
  <c r="B31" i="8"/>
  <c r="L30" i="8"/>
  <c r="K30" i="8"/>
  <c r="F30" i="8"/>
  <c r="C30" i="8"/>
  <c r="B30" i="8"/>
  <c r="L29" i="8"/>
  <c r="K29" i="8"/>
  <c r="F29" i="8"/>
  <c r="C29" i="8"/>
  <c r="B29" i="8"/>
  <c r="L28" i="8"/>
  <c r="K28" i="8"/>
  <c r="F28" i="8"/>
  <c r="C28" i="8"/>
  <c r="B28" i="8"/>
  <c r="L27" i="8"/>
  <c r="K27" i="8"/>
  <c r="F27" i="8"/>
  <c r="C27" i="8"/>
  <c r="B27" i="8"/>
  <c r="L26" i="8"/>
  <c r="K26" i="8"/>
  <c r="F26" i="8"/>
  <c r="C26" i="8"/>
  <c r="B26" i="8"/>
  <c r="L25" i="8"/>
  <c r="K25" i="8"/>
  <c r="F25" i="8"/>
  <c r="C25" i="8"/>
  <c r="B25" i="8"/>
  <c r="L24" i="8"/>
  <c r="K24" i="8"/>
  <c r="F24" i="8"/>
  <c r="C24" i="8"/>
  <c r="B24" i="8"/>
  <c r="L23" i="8"/>
  <c r="K23" i="8"/>
  <c r="F23" i="8"/>
  <c r="C23" i="8"/>
  <c r="B23" i="8"/>
  <c r="L22" i="8"/>
  <c r="K22" i="8"/>
  <c r="F22" i="8"/>
  <c r="C22" i="8"/>
  <c r="B22" i="8"/>
  <c r="L21" i="8"/>
  <c r="K21" i="8"/>
  <c r="F21" i="8"/>
  <c r="C21" i="8"/>
  <c r="B21" i="8"/>
  <c r="L20" i="8"/>
  <c r="K20" i="8"/>
  <c r="F20" i="8"/>
  <c r="C20" i="8"/>
  <c r="B20" i="8"/>
  <c r="L19" i="8"/>
  <c r="K19" i="8"/>
  <c r="F19" i="8"/>
  <c r="C19" i="8"/>
  <c r="B19" i="8"/>
  <c r="L18" i="8"/>
  <c r="K18" i="8"/>
  <c r="F18" i="8"/>
  <c r="C18" i="8"/>
  <c r="B18" i="8"/>
  <c r="L17" i="8"/>
  <c r="K17" i="8"/>
  <c r="F17" i="8"/>
  <c r="C17" i="8"/>
  <c r="B17" i="8"/>
  <c r="L16" i="8"/>
  <c r="K16" i="8"/>
  <c r="F16" i="8"/>
  <c r="C16" i="8"/>
  <c r="B16" i="8"/>
  <c r="L15" i="8"/>
  <c r="C15" i="8"/>
  <c r="B15" i="8"/>
  <c r="J10" i="8"/>
  <c r="C10" i="8"/>
  <c r="L6" i="8"/>
  <c r="I77" i="7"/>
  <c r="C77" i="7"/>
  <c r="I75" i="7"/>
  <c r="H75" i="7"/>
  <c r="F75" i="7"/>
  <c r="E75" i="7"/>
  <c r="D75" i="7"/>
  <c r="C75" i="7"/>
  <c r="B75" i="7"/>
  <c r="I74" i="7"/>
  <c r="H74" i="7"/>
  <c r="F74" i="7"/>
  <c r="E74" i="7"/>
  <c r="D74" i="7"/>
  <c r="C74" i="7"/>
  <c r="B74" i="7"/>
  <c r="I73" i="7"/>
  <c r="H73" i="7"/>
  <c r="F73" i="7"/>
  <c r="E73" i="7"/>
  <c r="D73" i="7"/>
  <c r="C73" i="7"/>
  <c r="B73" i="7"/>
  <c r="I72" i="7"/>
  <c r="H72" i="7"/>
  <c r="F72" i="7"/>
  <c r="E72" i="7"/>
  <c r="D72" i="7"/>
  <c r="C72" i="7"/>
  <c r="B72" i="7"/>
  <c r="I71" i="7"/>
  <c r="H71" i="7"/>
  <c r="F71" i="7"/>
  <c r="E71" i="7"/>
  <c r="D71" i="7"/>
  <c r="C71" i="7"/>
  <c r="B71" i="7"/>
  <c r="I70" i="7"/>
  <c r="H70" i="7"/>
  <c r="F70" i="7"/>
  <c r="E70" i="7"/>
  <c r="D70" i="7"/>
  <c r="C70" i="7"/>
  <c r="B70" i="7"/>
  <c r="I69" i="7"/>
  <c r="H69" i="7"/>
  <c r="F69" i="7"/>
  <c r="E69" i="7"/>
  <c r="D69" i="7"/>
  <c r="C69" i="7"/>
  <c r="B69" i="7"/>
  <c r="I68" i="7"/>
  <c r="H68" i="7"/>
  <c r="F68" i="7"/>
  <c r="E68" i="7"/>
  <c r="D68" i="7"/>
  <c r="C68" i="7"/>
  <c r="B68" i="7"/>
  <c r="I67" i="7"/>
  <c r="H67" i="7"/>
  <c r="F67" i="7"/>
  <c r="E67" i="7"/>
  <c r="D67" i="7"/>
  <c r="C67" i="7"/>
  <c r="B67" i="7"/>
  <c r="I66" i="7"/>
  <c r="H66" i="7"/>
  <c r="F66" i="7"/>
  <c r="E66" i="7"/>
  <c r="D66" i="7"/>
  <c r="C66" i="7"/>
  <c r="B66" i="7"/>
  <c r="I65" i="7"/>
  <c r="H65" i="7"/>
  <c r="F65" i="7"/>
  <c r="E65" i="7"/>
  <c r="D65" i="7"/>
  <c r="C65" i="7"/>
  <c r="B65" i="7"/>
  <c r="I64" i="7"/>
  <c r="H64" i="7"/>
  <c r="F64" i="7"/>
  <c r="E64" i="7"/>
  <c r="D64" i="7"/>
  <c r="C64" i="7"/>
  <c r="B64" i="7"/>
  <c r="I63" i="7"/>
  <c r="H63" i="7"/>
  <c r="F63" i="7"/>
  <c r="E63" i="7"/>
  <c r="D63" i="7"/>
  <c r="C63" i="7"/>
  <c r="B63" i="7"/>
  <c r="I62" i="7"/>
  <c r="H62" i="7"/>
  <c r="F62" i="7"/>
  <c r="E62" i="7"/>
  <c r="D62" i="7"/>
  <c r="C62" i="7"/>
  <c r="B62" i="7"/>
  <c r="I61" i="7"/>
  <c r="H61" i="7"/>
  <c r="F61" i="7"/>
  <c r="E61" i="7"/>
  <c r="D61" i="7"/>
  <c r="C61" i="7"/>
  <c r="B61" i="7"/>
  <c r="I60" i="7"/>
  <c r="H60" i="7"/>
  <c r="F60" i="7"/>
  <c r="E60" i="7"/>
  <c r="D60" i="7"/>
  <c r="C60" i="7"/>
  <c r="B60" i="7"/>
  <c r="I59" i="7"/>
  <c r="H59" i="7"/>
  <c r="F59" i="7"/>
  <c r="E59" i="7"/>
  <c r="D59" i="7"/>
  <c r="C59" i="7"/>
  <c r="B59" i="7"/>
  <c r="I58" i="7"/>
  <c r="H58" i="7"/>
  <c r="F58" i="7"/>
  <c r="E58" i="7"/>
  <c r="D58" i="7"/>
  <c r="C58" i="7"/>
  <c r="B58" i="7"/>
  <c r="I57" i="7"/>
  <c r="H57" i="7"/>
  <c r="F57" i="7"/>
  <c r="E57" i="7"/>
  <c r="D57" i="7"/>
  <c r="C57" i="7"/>
  <c r="B57" i="7"/>
  <c r="I56" i="7"/>
  <c r="H56" i="7"/>
  <c r="F56" i="7"/>
  <c r="E56" i="7"/>
  <c r="D56" i="7"/>
  <c r="C56" i="7"/>
  <c r="B56" i="7"/>
  <c r="I55" i="7"/>
  <c r="H55" i="7"/>
  <c r="F55" i="7"/>
  <c r="E55" i="7"/>
  <c r="D55" i="7"/>
  <c r="C55" i="7"/>
  <c r="B55" i="7"/>
  <c r="I54" i="7"/>
  <c r="H54" i="7"/>
  <c r="F54" i="7"/>
  <c r="E54" i="7"/>
  <c r="D54" i="7"/>
  <c r="C54" i="7"/>
  <c r="B54" i="7"/>
  <c r="I53" i="7"/>
  <c r="H53" i="7"/>
  <c r="F53" i="7"/>
  <c r="E53" i="7"/>
  <c r="D53" i="7"/>
  <c r="C53" i="7"/>
  <c r="B53" i="7"/>
  <c r="I52" i="7"/>
  <c r="H52" i="7"/>
  <c r="F52" i="7"/>
  <c r="E52" i="7"/>
  <c r="D52" i="7"/>
  <c r="C52" i="7"/>
  <c r="B52" i="7"/>
  <c r="I51" i="7"/>
  <c r="H51" i="7"/>
  <c r="F51" i="7"/>
  <c r="E51" i="7"/>
  <c r="D51" i="7"/>
  <c r="C51" i="7"/>
  <c r="B51" i="7"/>
  <c r="I50" i="7"/>
  <c r="H50" i="7"/>
  <c r="F50" i="7"/>
  <c r="E50" i="7"/>
  <c r="D50" i="7"/>
  <c r="C50" i="7"/>
  <c r="B50" i="7"/>
  <c r="I49" i="7"/>
  <c r="H49" i="7"/>
  <c r="F49" i="7"/>
  <c r="E49" i="7"/>
  <c r="D49" i="7"/>
  <c r="C49" i="7"/>
  <c r="B49" i="7"/>
  <c r="I48" i="7"/>
  <c r="H48" i="7"/>
  <c r="F48" i="7"/>
  <c r="E48" i="7"/>
  <c r="D48" i="7"/>
  <c r="C48" i="7"/>
  <c r="B48" i="7"/>
  <c r="I47" i="7"/>
  <c r="H47" i="7"/>
  <c r="F47" i="7"/>
  <c r="E47" i="7"/>
  <c r="D47" i="7"/>
  <c r="C47" i="7"/>
  <c r="B47" i="7"/>
  <c r="I46" i="7"/>
  <c r="H46" i="7"/>
  <c r="F46" i="7"/>
  <c r="E46" i="7"/>
  <c r="D46" i="7"/>
  <c r="C46" i="7"/>
  <c r="B46" i="7"/>
  <c r="I45" i="7"/>
  <c r="H45" i="7"/>
  <c r="F45" i="7"/>
  <c r="E45" i="7"/>
  <c r="D45" i="7"/>
  <c r="C45" i="7"/>
  <c r="B45" i="7"/>
  <c r="I44" i="7"/>
  <c r="H44" i="7"/>
  <c r="F44" i="7"/>
  <c r="E44" i="7"/>
  <c r="D44" i="7"/>
  <c r="C44" i="7"/>
  <c r="B44" i="7"/>
  <c r="I43" i="7"/>
  <c r="H43" i="7"/>
  <c r="F43" i="7"/>
  <c r="E43" i="7"/>
  <c r="D43" i="7"/>
  <c r="C43" i="7"/>
  <c r="B43" i="7"/>
  <c r="I42" i="7"/>
  <c r="H42" i="7"/>
  <c r="F42" i="7"/>
  <c r="E42" i="7"/>
  <c r="D42" i="7"/>
  <c r="C42" i="7"/>
  <c r="B42" i="7"/>
  <c r="I41" i="7"/>
  <c r="H41" i="7"/>
  <c r="F41" i="7"/>
  <c r="E41" i="7"/>
  <c r="D41" i="7"/>
  <c r="C41" i="7"/>
  <c r="B41" i="7"/>
  <c r="I40" i="7"/>
  <c r="H40" i="7"/>
  <c r="F40" i="7"/>
  <c r="E40" i="7"/>
  <c r="D40" i="7"/>
  <c r="C40" i="7"/>
  <c r="B40" i="7"/>
  <c r="I39" i="7"/>
  <c r="H39" i="7"/>
  <c r="F39" i="7"/>
  <c r="E39" i="7"/>
  <c r="D39" i="7"/>
  <c r="C39" i="7"/>
  <c r="B39" i="7"/>
  <c r="I38" i="7"/>
  <c r="H38" i="7"/>
  <c r="F38" i="7"/>
  <c r="E38" i="7"/>
  <c r="D38" i="7"/>
  <c r="C38" i="7"/>
  <c r="B38" i="7"/>
  <c r="I37" i="7"/>
  <c r="H37" i="7"/>
  <c r="F37" i="7"/>
  <c r="E37" i="7"/>
  <c r="D37" i="7"/>
  <c r="C37" i="7"/>
  <c r="B37" i="7"/>
  <c r="I36" i="7"/>
  <c r="H36" i="7"/>
  <c r="F36" i="7"/>
  <c r="E36" i="7"/>
  <c r="D36" i="7"/>
  <c r="C36" i="7"/>
  <c r="B36" i="7"/>
  <c r="I35" i="7"/>
  <c r="H35" i="7"/>
  <c r="F35" i="7"/>
  <c r="E35" i="7"/>
  <c r="D35" i="7"/>
  <c r="C35" i="7"/>
  <c r="B35" i="7"/>
  <c r="I34" i="7"/>
  <c r="H34" i="7"/>
  <c r="F34" i="7"/>
  <c r="E34" i="7"/>
  <c r="D34" i="7"/>
  <c r="C34" i="7"/>
  <c r="B34" i="7"/>
  <c r="I33" i="7"/>
  <c r="H33" i="7"/>
  <c r="F33" i="7"/>
  <c r="E33" i="7"/>
  <c r="D33" i="7"/>
  <c r="C33" i="7"/>
  <c r="B33" i="7"/>
  <c r="I32" i="7"/>
  <c r="H32" i="7"/>
  <c r="F32" i="7"/>
  <c r="E32" i="7"/>
  <c r="D32" i="7"/>
  <c r="C32" i="7"/>
  <c r="B32" i="7"/>
  <c r="I31" i="7"/>
  <c r="H31" i="7"/>
  <c r="F31" i="7"/>
  <c r="E31" i="7"/>
  <c r="D31" i="7"/>
  <c r="C31" i="7"/>
  <c r="B31" i="7"/>
  <c r="I30" i="7"/>
  <c r="H30" i="7"/>
  <c r="F30" i="7"/>
  <c r="E30" i="7"/>
  <c r="D30" i="7"/>
  <c r="C30" i="7"/>
  <c r="B30" i="7"/>
  <c r="I29" i="7"/>
  <c r="H29" i="7"/>
  <c r="F29" i="7"/>
  <c r="E29" i="7"/>
  <c r="D29" i="7"/>
  <c r="C29" i="7"/>
  <c r="B29" i="7"/>
  <c r="I28" i="7"/>
  <c r="H28" i="7"/>
  <c r="F28" i="7"/>
  <c r="E28" i="7"/>
  <c r="D28" i="7"/>
  <c r="C28" i="7"/>
  <c r="B28" i="7"/>
  <c r="I27" i="7"/>
  <c r="H27" i="7"/>
  <c r="F27" i="7"/>
  <c r="E27" i="7"/>
  <c r="D27" i="7"/>
  <c r="C27" i="7"/>
  <c r="B27" i="7"/>
  <c r="I26" i="7"/>
  <c r="H26" i="7"/>
  <c r="F26" i="7"/>
  <c r="E26" i="7"/>
  <c r="D26" i="7"/>
  <c r="C26" i="7"/>
  <c r="B26" i="7"/>
  <c r="I25" i="7"/>
  <c r="H25" i="7"/>
  <c r="F25" i="7"/>
  <c r="E25" i="7"/>
  <c r="D25" i="7"/>
  <c r="C25" i="7"/>
  <c r="B25" i="7"/>
  <c r="I24" i="7"/>
  <c r="H24" i="7"/>
  <c r="F24" i="7"/>
  <c r="E24" i="7"/>
  <c r="D24" i="7"/>
  <c r="C24" i="7"/>
  <c r="B24" i="7"/>
  <c r="I23" i="7"/>
  <c r="H23" i="7"/>
  <c r="F23" i="7"/>
  <c r="E23" i="7"/>
  <c r="D23" i="7"/>
  <c r="C23" i="7"/>
  <c r="B23" i="7"/>
  <c r="I22" i="7"/>
  <c r="H22" i="7"/>
  <c r="F22" i="7"/>
  <c r="E22" i="7"/>
  <c r="D22" i="7"/>
  <c r="C22" i="7"/>
  <c r="B22" i="7"/>
  <c r="I21" i="7"/>
  <c r="H21" i="7"/>
  <c r="F21" i="7"/>
  <c r="E21" i="7"/>
  <c r="D21" i="7"/>
  <c r="C21" i="7"/>
  <c r="B21" i="7"/>
  <c r="I20" i="7"/>
  <c r="H20" i="7"/>
  <c r="F20" i="7"/>
  <c r="E20" i="7"/>
  <c r="D20" i="7"/>
  <c r="C20" i="7"/>
  <c r="B20" i="7"/>
  <c r="I19" i="7"/>
  <c r="H19" i="7"/>
  <c r="F19" i="7"/>
  <c r="E19" i="7"/>
  <c r="D19" i="7"/>
  <c r="C19" i="7"/>
  <c r="B19" i="7"/>
  <c r="I18" i="7"/>
  <c r="H18" i="7"/>
  <c r="F18" i="7"/>
  <c r="E18" i="7"/>
  <c r="D18" i="7"/>
  <c r="C18" i="7"/>
  <c r="B18" i="7"/>
  <c r="I17" i="7"/>
  <c r="H17" i="7"/>
  <c r="F17" i="7"/>
  <c r="E17" i="7"/>
  <c r="D17" i="7"/>
  <c r="C17" i="7"/>
  <c r="B17" i="7"/>
  <c r="I16" i="7"/>
  <c r="H16" i="7"/>
  <c r="F16" i="7"/>
  <c r="E16" i="7"/>
  <c r="D16" i="7"/>
  <c r="C16" i="7"/>
  <c r="B16" i="7"/>
  <c r="I15" i="7"/>
  <c r="H15" i="7"/>
  <c r="F15" i="7"/>
  <c r="E15" i="7"/>
  <c r="D15" i="7"/>
  <c r="C15" i="7"/>
  <c r="B15" i="7"/>
  <c r="I14" i="7"/>
  <c r="C14" i="7"/>
  <c r="B14" i="7"/>
  <c r="I10" i="7"/>
  <c r="H10" i="7"/>
  <c r="C10" i="7"/>
  <c r="J6" i="7"/>
  <c r="M76" i="6"/>
  <c r="M75" i="6"/>
  <c r="L75" i="6"/>
  <c r="E75" i="6"/>
  <c r="C75" i="6"/>
  <c r="B75" i="6"/>
  <c r="M74" i="6"/>
  <c r="L74" i="6"/>
  <c r="E74" i="6"/>
  <c r="C74" i="6"/>
  <c r="B74" i="6"/>
  <c r="M73" i="6"/>
  <c r="L73" i="6"/>
  <c r="E73" i="6"/>
  <c r="C73" i="6"/>
  <c r="B73" i="6"/>
  <c r="M72" i="6"/>
  <c r="L72" i="6"/>
  <c r="E72" i="6"/>
  <c r="C72" i="6"/>
  <c r="B72" i="6"/>
  <c r="M71" i="6"/>
  <c r="L71" i="6"/>
  <c r="E71" i="6"/>
  <c r="C71" i="6"/>
  <c r="B71" i="6"/>
  <c r="M70" i="6"/>
  <c r="L70" i="6"/>
  <c r="E70" i="6"/>
  <c r="C70" i="6"/>
  <c r="B70" i="6"/>
  <c r="M69" i="6"/>
  <c r="L69" i="6"/>
  <c r="E69" i="6"/>
  <c r="C69" i="6"/>
  <c r="B69" i="6"/>
  <c r="M68" i="6"/>
  <c r="L68" i="6"/>
  <c r="E68" i="6"/>
  <c r="C68" i="6"/>
  <c r="B68" i="6"/>
  <c r="M67" i="6"/>
  <c r="L67" i="6"/>
  <c r="E67" i="6"/>
  <c r="C67" i="6"/>
  <c r="B67" i="6"/>
  <c r="M66" i="6"/>
  <c r="L66" i="6"/>
  <c r="E66" i="6"/>
  <c r="C66" i="6"/>
  <c r="B66" i="6"/>
  <c r="M65" i="6"/>
  <c r="L65" i="6"/>
  <c r="E65" i="6"/>
  <c r="C65" i="6"/>
  <c r="B65" i="6"/>
  <c r="M64" i="6"/>
  <c r="L64" i="6"/>
  <c r="E64" i="6"/>
  <c r="C64" i="6"/>
  <c r="B64" i="6"/>
  <c r="M63" i="6"/>
  <c r="L63" i="6"/>
  <c r="E63" i="6"/>
  <c r="C63" i="6"/>
  <c r="B63" i="6"/>
  <c r="M62" i="6"/>
  <c r="L62" i="6"/>
  <c r="E62" i="6"/>
  <c r="C62" i="6"/>
  <c r="B62" i="6"/>
  <c r="M61" i="6"/>
  <c r="L61" i="6"/>
  <c r="E61" i="6"/>
  <c r="C61" i="6"/>
  <c r="B61" i="6"/>
  <c r="M60" i="6"/>
  <c r="L60" i="6"/>
  <c r="E60" i="6"/>
  <c r="C60" i="6"/>
  <c r="B60" i="6"/>
  <c r="M59" i="6"/>
  <c r="L59" i="6"/>
  <c r="E59" i="6"/>
  <c r="C59" i="6"/>
  <c r="B59" i="6"/>
  <c r="M58" i="6"/>
  <c r="L58" i="6"/>
  <c r="E58" i="6"/>
  <c r="C58" i="6"/>
  <c r="B58" i="6"/>
  <c r="M57" i="6"/>
  <c r="L57" i="6"/>
  <c r="E57" i="6"/>
  <c r="C57" i="6"/>
  <c r="B57" i="6"/>
  <c r="M56" i="6"/>
  <c r="L56" i="6"/>
  <c r="E56" i="6"/>
  <c r="C56" i="6"/>
  <c r="B56" i="6"/>
  <c r="M55" i="6"/>
  <c r="L55" i="6"/>
  <c r="E55" i="6"/>
  <c r="C55" i="6"/>
  <c r="B55" i="6"/>
  <c r="M54" i="6"/>
  <c r="L54" i="6"/>
  <c r="E54" i="6"/>
  <c r="C54" i="6"/>
  <c r="B54" i="6"/>
  <c r="M53" i="6"/>
  <c r="L53" i="6"/>
  <c r="E53" i="6"/>
  <c r="C53" i="6"/>
  <c r="B53" i="6"/>
  <c r="M52" i="6"/>
  <c r="L52" i="6"/>
  <c r="E52" i="6"/>
  <c r="C52" i="6"/>
  <c r="B52" i="6"/>
  <c r="M51" i="6"/>
  <c r="L51" i="6"/>
  <c r="E51" i="6"/>
  <c r="C51" i="6"/>
  <c r="B51" i="6"/>
  <c r="M50" i="6"/>
  <c r="L50" i="6"/>
  <c r="E50" i="6"/>
  <c r="C50" i="6"/>
  <c r="B50" i="6"/>
  <c r="M49" i="6"/>
  <c r="L49" i="6"/>
  <c r="E49" i="6"/>
  <c r="C49" i="6"/>
  <c r="B49" i="6"/>
  <c r="M48" i="6"/>
  <c r="L48" i="6"/>
  <c r="E48" i="6"/>
  <c r="C48" i="6"/>
  <c r="B48" i="6"/>
  <c r="M47" i="6"/>
  <c r="L47" i="6"/>
  <c r="E47" i="6"/>
  <c r="C47" i="6"/>
  <c r="B47" i="6"/>
  <c r="M46" i="6"/>
  <c r="L46" i="6"/>
  <c r="E46" i="6"/>
  <c r="C46" i="6"/>
  <c r="B46" i="6"/>
  <c r="M45" i="6"/>
  <c r="L45" i="6"/>
  <c r="E45" i="6"/>
  <c r="C45" i="6"/>
  <c r="B45" i="6"/>
  <c r="M44" i="6"/>
  <c r="L44" i="6"/>
  <c r="E44" i="6"/>
  <c r="C44" i="6"/>
  <c r="B44" i="6"/>
  <c r="M43" i="6"/>
  <c r="L43" i="6"/>
  <c r="E43" i="6"/>
  <c r="C43" i="6"/>
  <c r="B43" i="6"/>
  <c r="M42" i="6"/>
  <c r="L42" i="6"/>
  <c r="E42" i="6"/>
  <c r="C42" i="6"/>
  <c r="B42" i="6"/>
  <c r="M41" i="6"/>
  <c r="L41" i="6"/>
  <c r="E41" i="6"/>
  <c r="C41" i="6"/>
  <c r="B41" i="6"/>
  <c r="M40" i="6"/>
  <c r="L40" i="6"/>
  <c r="E40" i="6"/>
  <c r="C40" i="6"/>
  <c r="B40" i="6"/>
  <c r="M39" i="6"/>
  <c r="L39" i="6"/>
  <c r="E39" i="6"/>
  <c r="C39" i="6"/>
  <c r="B39" i="6"/>
  <c r="M38" i="6"/>
  <c r="L38" i="6"/>
  <c r="E38" i="6"/>
  <c r="C38" i="6"/>
  <c r="B38" i="6"/>
  <c r="M37" i="6"/>
  <c r="L37" i="6"/>
  <c r="E37" i="6"/>
  <c r="C37" i="6"/>
  <c r="B37" i="6"/>
  <c r="M36" i="6"/>
  <c r="L36" i="6"/>
  <c r="E36" i="6"/>
  <c r="C36" i="6"/>
  <c r="B36" i="6"/>
  <c r="M35" i="6"/>
  <c r="L35" i="6"/>
  <c r="E35" i="6"/>
  <c r="C35" i="6"/>
  <c r="B35" i="6"/>
  <c r="M34" i="6"/>
  <c r="L34" i="6"/>
  <c r="E34" i="6"/>
  <c r="C34" i="6"/>
  <c r="B34" i="6"/>
  <c r="M33" i="6"/>
  <c r="L33" i="6"/>
  <c r="E33" i="6"/>
  <c r="C33" i="6"/>
  <c r="B33" i="6"/>
  <c r="M32" i="6"/>
  <c r="L32" i="6"/>
  <c r="E32" i="6"/>
  <c r="C32" i="6"/>
  <c r="B32" i="6"/>
  <c r="M31" i="6"/>
  <c r="L31" i="6"/>
  <c r="E31" i="6"/>
  <c r="C31" i="6"/>
  <c r="B31" i="6"/>
  <c r="M30" i="6"/>
  <c r="L30" i="6"/>
  <c r="E30" i="6"/>
  <c r="C30" i="6"/>
  <c r="B30" i="6"/>
  <c r="M29" i="6"/>
  <c r="L29" i="6"/>
  <c r="E29" i="6"/>
  <c r="C29" i="6"/>
  <c r="B29" i="6"/>
  <c r="M28" i="6"/>
  <c r="L28" i="6"/>
  <c r="E28" i="6"/>
  <c r="C28" i="6"/>
  <c r="B28" i="6"/>
  <c r="M27" i="6"/>
  <c r="L27" i="6"/>
  <c r="E27" i="6"/>
  <c r="C27" i="6"/>
  <c r="B27" i="6"/>
  <c r="M26" i="6"/>
  <c r="L26" i="6"/>
  <c r="E26" i="6"/>
  <c r="C26" i="6"/>
  <c r="B26" i="6"/>
  <c r="M25" i="6"/>
  <c r="L25" i="6"/>
  <c r="E25" i="6"/>
  <c r="C25" i="6"/>
  <c r="B25" i="6"/>
  <c r="M24" i="6"/>
  <c r="L24" i="6"/>
  <c r="E24" i="6"/>
  <c r="C24" i="6"/>
  <c r="B24" i="6"/>
  <c r="M23" i="6"/>
  <c r="L23" i="6"/>
  <c r="E23" i="6"/>
  <c r="C23" i="6"/>
  <c r="B23" i="6"/>
  <c r="M22" i="6"/>
  <c r="L22" i="6"/>
  <c r="E22" i="6"/>
  <c r="C22" i="6"/>
  <c r="B22" i="6"/>
  <c r="M21" i="6"/>
  <c r="L21" i="6"/>
  <c r="E21" i="6"/>
  <c r="C21" i="6"/>
  <c r="B21" i="6"/>
  <c r="M20" i="6"/>
  <c r="L20" i="6"/>
  <c r="E20" i="6"/>
  <c r="C20" i="6"/>
  <c r="B20" i="6"/>
  <c r="M19" i="6"/>
  <c r="L19" i="6"/>
  <c r="E19" i="6"/>
  <c r="C19" i="6"/>
  <c r="B19" i="6"/>
  <c r="M18" i="6"/>
  <c r="L18" i="6"/>
  <c r="E18" i="6"/>
  <c r="C18" i="6"/>
  <c r="B18" i="6"/>
  <c r="M17" i="6"/>
  <c r="L17" i="6"/>
  <c r="E17" i="6"/>
  <c r="C17" i="6"/>
  <c r="B17" i="6"/>
  <c r="O16" i="6"/>
  <c r="M16" i="6"/>
  <c r="L16" i="6"/>
  <c r="E16" i="6"/>
  <c r="C16" i="6"/>
  <c r="B16" i="6"/>
  <c r="M15" i="6"/>
  <c r="L15" i="6"/>
  <c r="E15" i="6"/>
  <c r="C15" i="6"/>
  <c r="B15" i="6"/>
  <c r="M14" i="6"/>
  <c r="L14" i="6"/>
  <c r="B14" i="6"/>
  <c r="K9" i="6"/>
  <c r="C9" i="6"/>
  <c r="N5" i="6"/>
  <c r="P35" i="5"/>
  <c r="L35" i="5"/>
  <c r="P34" i="5"/>
  <c r="L34" i="5"/>
  <c r="F18" i="5"/>
  <c r="I10" i="5"/>
  <c r="D10" i="5"/>
  <c r="L5" i="5"/>
  <c r="V19" i="4"/>
  <c r="J19" i="4"/>
  <c r="I19" i="4"/>
  <c r="H19" i="4"/>
  <c r="E19" i="4"/>
  <c r="L17" i="4"/>
  <c r="K17" i="4"/>
  <c r="D17" i="4"/>
  <c r="C17" i="4"/>
  <c r="S10" i="4"/>
  <c r="C10" i="4"/>
  <c r="T6" i="4"/>
  <c r="O39" i="3"/>
  <c r="N39" i="3"/>
  <c r="M39" i="3"/>
  <c r="J39" i="3"/>
  <c r="I39" i="3"/>
  <c r="H39" i="3"/>
  <c r="E39" i="3"/>
  <c r="D39" i="3"/>
  <c r="Q37" i="3"/>
  <c r="P37" i="3"/>
  <c r="L37" i="3"/>
  <c r="K37" i="3"/>
  <c r="G37" i="3"/>
  <c r="F37" i="3"/>
  <c r="Q36" i="3"/>
  <c r="P36" i="3"/>
  <c r="L36" i="3"/>
  <c r="K36" i="3"/>
  <c r="G36" i="3"/>
  <c r="F36" i="3"/>
  <c r="Q35" i="3"/>
  <c r="P35" i="3"/>
  <c r="L35" i="3"/>
  <c r="K35" i="3"/>
  <c r="G35" i="3"/>
  <c r="F35" i="3"/>
  <c r="Q34" i="3"/>
  <c r="P34" i="3"/>
  <c r="L34" i="3"/>
  <c r="K34" i="3"/>
  <c r="G34" i="3"/>
  <c r="F34" i="3"/>
  <c r="Q33" i="3"/>
  <c r="P33" i="3"/>
  <c r="L33" i="3"/>
  <c r="K33" i="3"/>
  <c r="G33" i="3"/>
  <c r="F33" i="3"/>
  <c r="Q32" i="3"/>
  <c r="P32" i="3"/>
  <c r="L32" i="3"/>
  <c r="K32" i="3"/>
  <c r="G32" i="3"/>
  <c r="F32" i="3"/>
  <c r="Q31" i="3"/>
  <c r="P31" i="3"/>
  <c r="L31" i="3"/>
  <c r="K31" i="3"/>
  <c r="G31" i="3"/>
  <c r="F31" i="3"/>
  <c r="Q30" i="3"/>
  <c r="P30" i="3"/>
  <c r="L30" i="3"/>
  <c r="K30" i="3"/>
  <c r="G30" i="3"/>
  <c r="F30" i="3"/>
  <c r="Q29" i="3"/>
  <c r="P29" i="3"/>
  <c r="L29" i="3"/>
  <c r="K29" i="3"/>
  <c r="G29" i="3"/>
  <c r="F29" i="3"/>
  <c r="Q28" i="3"/>
  <c r="P28" i="3"/>
  <c r="L28" i="3"/>
  <c r="K28" i="3"/>
  <c r="G28" i="3"/>
  <c r="F28" i="3"/>
  <c r="Q27" i="3"/>
  <c r="P27" i="3"/>
  <c r="L27" i="3"/>
  <c r="K27" i="3"/>
  <c r="G27" i="3"/>
  <c r="F27" i="3"/>
  <c r="Q26" i="3"/>
  <c r="P26" i="3"/>
  <c r="L26" i="3"/>
  <c r="K26" i="3"/>
  <c r="G26" i="3"/>
  <c r="F26" i="3"/>
  <c r="Q25" i="3"/>
  <c r="P25" i="3"/>
  <c r="L25" i="3"/>
  <c r="K25" i="3"/>
  <c r="G25" i="3"/>
  <c r="F25" i="3"/>
  <c r="Q24" i="3"/>
  <c r="P24" i="3"/>
  <c r="L24" i="3"/>
  <c r="K24" i="3"/>
  <c r="G24" i="3"/>
  <c r="F24" i="3"/>
  <c r="Q23" i="3"/>
  <c r="P23" i="3"/>
  <c r="L23" i="3"/>
  <c r="K23" i="3"/>
  <c r="G23" i="3"/>
  <c r="F23" i="3"/>
  <c r="Q22" i="3"/>
  <c r="P22" i="3"/>
  <c r="L22" i="3"/>
  <c r="K22" i="3"/>
  <c r="G22" i="3"/>
  <c r="F22" i="3"/>
  <c r="Q21" i="3"/>
  <c r="P21" i="3"/>
  <c r="L21" i="3"/>
  <c r="K21" i="3"/>
  <c r="G21" i="3"/>
  <c r="F21" i="3"/>
  <c r="Q20" i="3"/>
  <c r="P20" i="3"/>
  <c r="L20" i="3"/>
  <c r="K20" i="3"/>
  <c r="G20" i="3"/>
  <c r="F20" i="3"/>
  <c r="Q19" i="3"/>
  <c r="P19" i="3"/>
  <c r="L19" i="3"/>
  <c r="K19" i="3"/>
  <c r="G19" i="3"/>
  <c r="F19" i="3"/>
  <c r="Q18" i="3"/>
  <c r="P18" i="3"/>
  <c r="L18" i="3"/>
  <c r="K18" i="3"/>
  <c r="G18" i="3"/>
  <c r="F18" i="3"/>
  <c r="Q17" i="3"/>
  <c r="P17" i="3"/>
  <c r="L17" i="3"/>
  <c r="K17" i="3"/>
  <c r="G17" i="3"/>
  <c r="F17" i="3"/>
  <c r="Q16" i="3"/>
  <c r="P16" i="3"/>
  <c r="L16" i="3"/>
  <c r="K16" i="3"/>
  <c r="N10" i="3"/>
  <c r="C8" i="3"/>
  <c r="D5" i="3"/>
  <c r="R4" i="3"/>
  <c r="G48" i="2"/>
  <c r="G42" i="2"/>
  <c r="B37" i="2"/>
  <c r="G17" i="2"/>
  <c r="G11" i="2"/>
  <c r="G10" i="2"/>
  <c r="F9" i="1"/>
  <c r="J10" i="10"/>
  <c r="I10" i="10"/>
  <c r="C10" i="10"/>
  <c r="C8" i="10"/>
  <c r="K6" i="10"/>
  <c r="D5" i="10"/>
  <c r="K4" i="10"/>
  <c r="D5" i="1" l="1"/>
  <c r="I10" i="12"/>
  <c r="C10" i="12"/>
  <c r="D5" i="12"/>
  <c r="I10" i="11"/>
  <c r="C8" i="11"/>
  <c r="C8" i="12" s="1"/>
  <c r="D5" i="11"/>
  <c r="K4" i="11"/>
  <c r="B19" i="9"/>
  <c r="B16" i="9"/>
  <c r="I10" i="9"/>
  <c r="C8" i="9"/>
  <c r="D5" i="9"/>
  <c r="E76" i="8"/>
  <c r="G76" i="8" s="1"/>
  <c r="H76" i="8" s="1"/>
  <c r="J76" i="8" s="1"/>
  <c r="E75" i="8"/>
  <c r="G75" i="8" s="1"/>
  <c r="H75" i="8" s="1"/>
  <c r="J75" i="8" s="1"/>
  <c r="E74" i="8"/>
  <c r="G74" i="8" s="1"/>
  <c r="H74" i="8" s="1"/>
  <c r="J74" i="8" s="1"/>
  <c r="E73" i="8"/>
  <c r="G73" i="8" s="1"/>
  <c r="H73" i="8" s="1"/>
  <c r="J73" i="8" s="1"/>
  <c r="E72" i="8"/>
  <c r="G72" i="8" s="1"/>
  <c r="H72" i="8" s="1"/>
  <c r="J72" i="8" s="1"/>
  <c r="E71" i="8"/>
  <c r="G71" i="8" s="1"/>
  <c r="H71" i="8" s="1"/>
  <c r="J71" i="8" s="1"/>
  <c r="E70" i="8"/>
  <c r="G70" i="8" s="1"/>
  <c r="H70" i="8" s="1"/>
  <c r="J70" i="8" s="1"/>
  <c r="E69" i="8"/>
  <c r="G69" i="8" s="1"/>
  <c r="H69" i="8" s="1"/>
  <c r="J69" i="8" s="1"/>
  <c r="E68" i="8"/>
  <c r="G68" i="8" s="1"/>
  <c r="H68" i="8" s="1"/>
  <c r="J68" i="8" s="1"/>
  <c r="E67" i="8"/>
  <c r="G67" i="8" s="1"/>
  <c r="H67" i="8" s="1"/>
  <c r="J67" i="8" s="1"/>
  <c r="E66" i="8"/>
  <c r="G66" i="8" s="1"/>
  <c r="H66" i="8" s="1"/>
  <c r="J66" i="8" s="1"/>
  <c r="E65" i="8"/>
  <c r="G65" i="8" s="1"/>
  <c r="H65" i="8" s="1"/>
  <c r="J65" i="8" s="1"/>
  <c r="E64" i="8"/>
  <c r="G64" i="8" s="1"/>
  <c r="H64" i="8" s="1"/>
  <c r="J64" i="8" s="1"/>
  <c r="G62" i="8"/>
  <c r="H62" i="8" s="1"/>
  <c r="J62" i="8" s="1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2" i="8"/>
  <c r="E31" i="8"/>
  <c r="G31" i="8" s="1"/>
  <c r="H31" i="8" s="1"/>
  <c r="J31" i="8" s="1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E18" i="8"/>
  <c r="G18" i="8" s="1"/>
  <c r="H18" i="8" s="1"/>
  <c r="J18" i="8" s="1"/>
  <c r="D18" i="8"/>
  <c r="D17" i="8"/>
  <c r="D16" i="8"/>
  <c r="I10" i="8"/>
  <c r="C8" i="8"/>
  <c r="D5" i="8"/>
  <c r="O75" i="6"/>
  <c r="O74" i="6"/>
  <c r="O73" i="6"/>
  <c r="S18" i="3"/>
  <c r="F10" i="1"/>
  <c r="D33" i="8"/>
  <c r="E33" i="8" s="1"/>
  <c r="G33" i="8" s="1"/>
  <c r="H33" i="8" s="1"/>
  <c r="J33" i="8" s="1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D14" i="7"/>
  <c r="C8" i="7"/>
  <c r="C5" i="7"/>
  <c r="H10" i="5"/>
  <c r="D8" i="5"/>
  <c r="D5" i="5"/>
  <c r="D5" i="4"/>
  <c r="S39" i="3"/>
  <c r="R37" i="3"/>
  <c r="S36" i="3"/>
  <c r="S26" i="3"/>
  <c r="S23" i="3"/>
  <c r="S20" i="3"/>
  <c r="S17" i="3"/>
  <c r="N8" i="3"/>
  <c r="G39" i="7"/>
  <c r="K39" i="3"/>
  <c r="C39" i="3"/>
  <c r="S37" i="3"/>
  <c r="R36" i="3"/>
  <c r="R35" i="3"/>
  <c r="S30" i="3"/>
  <c r="S28" i="3"/>
  <c r="R28" i="3"/>
  <c r="S27" i="3"/>
  <c r="S24" i="3"/>
  <c r="R23" i="3"/>
  <c r="R20" i="3"/>
  <c r="R17" i="3"/>
  <c r="C16" i="3"/>
  <c r="E59" i="8"/>
  <c r="G59" i="8" s="1"/>
  <c r="H59" i="8" s="1"/>
  <c r="J59" i="8" s="1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6" i="6"/>
  <c r="O35" i="6"/>
  <c r="O34" i="6"/>
  <c r="O33" i="6"/>
  <c r="O32" i="6"/>
  <c r="O31" i="6"/>
  <c r="O30" i="6"/>
  <c r="O29" i="6"/>
  <c r="O28" i="6"/>
  <c r="O27" i="6"/>
  <c r="O26" i="6"/>
  <c r="O25" i="6"/>
  <c r="O21" i="6"/>
  <c r="O20" i="6"/>
  <c r="O15" i="6"/>
  <c r="O14" i="6"/>
  <c r="D19" i="4"/>
  <c r="C19" i="4"/>
  <c r="G17" i="4"/>
  <c r="O10" i="4"/>
  <c r="T4" i="4"/>
  <c r="L6" i="5" s="1"/>
  <c r="N3" i="6" s="1"/>
  <c r="J4" i="7" s="1"/>
  <c r="Q39" i="3"/>
  <c r="L39" i="3"/>
  <c r="H29" i="5" s="1"/>
  <c r="R34" i="3"/>
  <c r="R33" i="3"/>
  <c r="R32" i="3"/>
  <c r="R31" i="3"/>
  <c r="R30" i="3"/>
  <c r="R29" i="3"/>
  <c r="S25" i="3"/>
  <c r="R24" i="3"/>
  <c r="S22" i="3"/>
  <c r="R21" i="3"/>
  <c r="R19" i="3"/>
  <c r="R18" i="3"/>
  <c r="S10" i="3"/>
  <c r="O37" i="6"/>
  <c r="O24" i="6"/>
  <c r="O23" i="6"/>
  <c r="O22" i="6"/>
  <c r="O19" i="6"/>
  <c r="O18" i="6"/>
  <c r="O17" i="6"/>
  <c r="I9" i="6"/>
  <c r="C7" i="6"/>
  <c r="D4" i="6"/>
  <c r="L19" i="4"/>
  <c r="K19" i="4"/>
  <c r="F17" i="4"/>
  <c r="C8" i="4"/>
  <c r="R39" i="3"/>
  <c r="P39" i="3"/>
  <c r="G39" i="3"/>
  <c r="H28" i="5" s="1"/>
  <c r="F39" i="3"/>
  <c r="H25" i="5" s="1"/>
  <c r="S35" i="3"/>
  <c r="S34" i="3"/>
  <c r="S33" i="3"/>
  <c r="S32" i="3"/>
  <c r="S31" i="3"/>
  <c r="S29" i="3"/>
  <c r="R27" i="3"/>
  <c r="R26" i="3"/>
  <c r="R25" i="3"/>
  <c r="R22" i="3"/>
  <c r="S21" i="3"/>
  <c r="S19" i="3"/>
  <c r="G9" i="1"/>
  <c r="E63" i="8"/>
  <c r="G63" i="8" s="1"/>
  <c r="H63" i="8" s="1"/>
  <c r="J63" i="8" s="1"/>
  <c r="E61" i="8"/>
  <c r="G61" i="8" s="1"/>
  <c r="H61" i="8" s="1"/>
  <c r="J61" i="8" s="1"/>
  <c r="E60" i="8"/>
  <c r="G60" i="8" s="1"/>
  <c r="H60" i="8" s="1"/>
  <c r="J60" i="8" s="1"/>
  <c r="E58" i="8"/>
  <c r="G58" i="8" s="1"/>
  <c r="H58" i="8" s="1"/>
  <c r="J58" i="8" s="1"/>
  <c r="D77" i="7" l="1"/>
  <c r="D15" i="8"/>
  <c r="H30" i="5"/>
  <c r="Q40" i="3"/>
  <c r="H8" i="5"/>
  <c r="I8" i="8"/>
  <c r="I8" i="9"/>
  <c r="B22" i="9"/>
  <c r="I8" i="11"/>
  <c r="I8" i="12"/>
  <c r="I8" i="10"/>
  <c r="O8" i="4"/>
  <c r="I7" i="6"/>
  <c r="H8" i="7"/>
  <c r="F16" i="3"/>
  <c r="R16" i="3" s="1"/>
  <c r="G16" i="3"/>
  <c r="S16" i="3" s="1"/>
  <c r="O76" i="6"/>
  <c r="F76" i="6"/>
  <c r="G19" i="4"/>
  <c r="M17" i="4"/>
  <c r="L10" i="10"/>
  <c r="L10" i="5"/>
  <c r="J10" i="7"/>
  <c r="L10" i="8"/>
  <c r="L10" i="9"/>
  <c r="E22" i="9"/>
  <c r="L10" i="11"/>
  <c r="L10" i="12"/>
  <c r="U10" i="4"/>
  <c r="M9" i="6"/>
  <c r="F19" i="4"/>
  <c r="E14" i="7"/>
  <c r="D27" i="9"/>
  <c r="F40" i="3"/>
  <c r="H27" i="5"/>
  <c r="L25" i="5" s="1"/>
  <c r="G10" i="1"/>
  <c r="D4" i="1" s="1"/>
  <c r="H29" i="2" s="1"/>
  <c r="E57" i="8"/>
  <c r="G57" i="8" s="1"/>
  <c r="H57" i="8" s="1"/>
  <c r="J57" i="8" s="1"/>
  <c r="E56" i="8"/>
  <c r="G56" i="8" s="1"/>
  <c r="H56" i="8" s="1"/>
  <c r="J56" i="8" s="1"/>
  <c r="E55" i="8"/>
  <c r="G55" i="8" s="1"/>
  <c r="H55" i="8" s="1"/>
  <c r="J55" i="8" s="1"/>
  <c r="E54" i="8"/>
  <c r="G54" i="8" s="1"/>
  <c r="H54" i="8" s="1"/>
  <c r="J54" i="8" s="1"/>
  <c r="E53" i="8"/>
  <c r="G53" i="8" s="1"/>
  <c r="H53" i="8" s="1"/>
  <c r="J53" i="8" s="1"/>
  <c r="E52" i="8"/>
  <c r="G52" i="8" s="1"/>
  <c r="H52" i="8" s="1"/>
  <c r="J52" i="8" s="1"/>
  <c r="E51" i="8"/>
  <c r="G51" i="8" s="1"/>
  <c r="H51" i="8" s="1"/>
  <c r="J51" i="8" s="1"/>
  <c r="E50" i="8"/>
  <c r="G50" i="8" s="1"/>
  <c r="H50" i="8" s="1"/>
  <c r="J50" i="8" s="1"/>
  <c r="E49" i="8"/>
  <c r="G49" i="8" s="1"/>
  <c r="H49" i="8" s="1"/>
  <c r="J49" i="8" s="1"/>
  <c r="E48" i="8"/>
  <c r="G48" i="8" s="1"/>
  <c r="H48" i="8" s="1"/>
  <c r="J48" i="8" s="1"/>
  <c r="E47" i="8"/>
  <c r="G47" i="8" s="1"/>
  <c r="H47" i="8" s="1"/>
  <c r="J47" i="8" s="1"/>
  <c r="E46" i="8"/>
  <c r="G46" i="8" s="1"/>
  <c r="H46" i="8" s="1"/>
  <c r="J46" i="8" s="1"/>
  <c r="E45" i="8"/>
  <c r="G45" i="8" s="1"/>
  <c r="H45" i="8" s="1"/>
  <c r="J45" i="8" s="1"/>
  <c r="E44" i="8"/>
  <c r="G44" i="8" s="1"/>
  <c r="H44" i="8" s="1"/>
  <c r="J44" i="8" s="1"/>
  <c r="E43" i="8"/>
  <c r="G43" i="8" s="1"/>
  <c r="H43" i="8" s="1"/>
  <c r="J43" i="8" s="1"/>
  <c r="E42" i="8"/>
  <c r="G42" i="8" s="1"/>
  <c r="H42" i="8" s="1"/>
  <c r="J42" i="8" s="1"/>
  <c r="E41" i="8"/>
  <c r="G41" i="8" s="1"/>
  <c r="H41" i="8" s="1"/>
  <c r="J41" i="8" s="1"/>
  <c r="E40" i="8"/>
  <c r="G40" i="8" s="1"/>
  <c r="H40" i="8" s="1"/>
  <c r="J40" i="8" s="1"/>
  <c r="E39" i="8"/>
  <c r="G39" i="8" s="1"/>
  <c r="H39" i="8" s="1"/>
  <c r="J39" i="8" s="1"/>
  <c r="E38" i="8"/>
  <c r="G38" i="8" s="1"/>
  <c r="H38" i="8" s="1"/>
  <c r="J38" i="8" s="1"/>
  <c r="E37" i="8"/>
  <c r="G37" i="8" s="1"/>
  <c r="H37" i="8" s="1"/>
  <c r="J37" i="8" s="1"/>
  <c r="E36" i="8"/>
  <c r="G36" i="8" s="1"/>
  <c r="H36" i="8" s="1"/>
  <c r="J36" i="8" s="1"/>
  <c r="E35" i="8"/>
  <c r="G35" i="8" s="1"/>
  <c r="H35" i="8" s="1"/>
  <c r="J35" i="8" s="1"/>
  <c r="E34" i="8"/>
  <c r="G34" i="8" s="1"/>
  <c r="H34" i="8" s="1"/>
  <c r="J34" i="8" s="1"/>
  <c r="E32" i="8"/>
  <c r="G32" i="8" s="1"/>
  <c r="H32" i="8" s="1"/>
  <c r="J32" i="8" s="1"/>
  <c r="H26" i="5"/>
  <c r="E30" i="8"/>
  <c r="G30" i="8" s="1"/>
  <c r="H30" i="8" s="1"/>
  <c r="J30" i="8" s="1"/>
  <c r="E29" i="8"/>
  <c r="G29" i="8" s="1"/>
  <c r="H29" i="8" s="1"/>
  <c r="J29" i="8" s="1"/>
  <c r="E28" i="8"/>
  <c r="G28" i="8" s="1"/>
  <c r="H28" i="8" s="1"/>
  <c r="J28" i="8" s="1"/>
  <c r="E27" i="8"/>
  <c r="G27" i="8" s="1"/>
  <c r="H27" i="8" s="1"/>
  <c r="J27" i="8" s="1"/>
  <c r="E26" i="8"/>
  <c r="G26" i="8" s="1"/>
  <c r="H26" i="8" s="1"/>
  <c r="J26" i="8" s="1"/>
  <c r="E25" i="8"/>
  <c r="G25" i="8" s="1"/>
  <c r="H25" i="8" s="1"/>
  <c r="J25" i="8" s="1"/>
  <c r="E24" i="8"/>
  <c r="G24" i="8" s="1"/>
  <c r="H24" i="8" s="1"/>
  <c r="J24" i="8" s="1"/>
  <c r="E23" i="8"/>
  <c r="G23" i="8" s="1"/>
  <c r="H23" i="8" s="1"/>
  <c r="J23" i="8" s="1"/>
  <c r="E22" i="8"/>
  <c r="G22" i="8" s="1"/>
  <c r="H22" i="8" s="1"/>
  <c r="J22" i="8" s="1"/>
  <c r="E21" i="8"/>
  <c r="G21" i="8" s="1"/>
  <c r="H21" i="8" s="1"/>
  <c r="J21" i="8" s="1"/>
  <c r="E20" i="8"/>
  <c r="G20" i="8" s="1"/>
  <c r="H20" i="8" s="1"/>
  <c r="J20" i="8" s="1"/>
  <c r="E19" i="8"/>
  <c r="G19" i="8" s="1"/>
  <c r="H19" i="8" s="1"/>
  <c r="J19" i="8" s="1"/>
  <c r="E17" i="8"/>
  <c r="G17" i="8" s="1"/>
  <c r="H17" i="8" s="1"/>
  <c r="J17" i="8" s="1"/>
  <c r="E16" i="8"/>
  <c r="G16" i="8" s="1"/>
  <c r="H16" i="8" s="1"/>
  <c r="J16" i="8" s="1"/>
  <c r="E15" i="8" l="1"/>
  <c r="D78" i="8"/>
  <c r="L28" i="5"/>
  <c r="L29" i="5"/>
  <c r="L32" i="5"/>
  <c r="M19" i="4"/>
  <c r="E77" i="7"/>
  <c r="L26" i="5"/>
  <c r="H9" i="1"/>
  <c r="E78" i="8" l="1"/>
  <c r="J34" i="5"/>
  <c r="J35" i="5"/>
  <c r="D73" i="6"/>
  <c r="D74" i="6"/>
  <c r="D75" i="6"/>
  <c r="D17" i="6"/>
  <c r="D27" i="6"/>
  <c r="D38" i="6"/>
  <c r="L56" i="5"/>
  <c r="L63" i="5" s="1"/>
  <c r="D14" i="6"/>
  <c r="D76" i="6" s="1"/>
  <c r="D15" i="6"/>
  <c r="D16" i="6"/>
  <c r="D18" i="6"/>
  <c r="D19" i="6"/>
  <c r="D20" i="6"/>
  <c r="D21" i="6"/>
  <c r="D22" i="6"/>
  <c r="D23" i="6"/>
  <c r="D24" i="6"/>
  <c r="D25" i="6"/>
  <c r="D26" i="6"/>
  <c r="D28" i="6"/>
  <c r="D29" i="6"/>
  <c r="D30" i="6"/>
  <c r="D31" i="6"/>
  <c r="D32" i="6"/>
  <c r="D33" i="6"/>
  <c r="D34" i="6"/>
  <c r="D35" i="6"/>
  <c r="D36" i="6"/>
  <c r="D37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N17" i="4"/>
  <c r="F27" i="9"/>
  <c r="H10" i="1"/>
  <c r="L64" i="5" l="1"/>
  <c r="L65" i="5"/>
  <c r="L66" i="5"/>
  <c r="L67" i="5" s="1"/>
  <c r="P17" i="4"/>
  <c r="P19" i="4" s="1"/>
  <c r="O17" i="4"/>
  <c r="Q17" i="4"/>
  <c r="Q19" i="4" s="1"/>
  <c r="N19" i="4"/>
  <c r="E14" i="6"/>
  <c r="E76" i="6" s="1"/>
  <c r="H14" i="7"/>
  <c r="H77" i="7" s="1"/>
  <c r="K15" i="8"/>
  <c r="K78" i="8" s="1"/>
  <c r="O19" i="4" l="1"/>
  <c r="R17" i="4"/>
  <c r="S17" i="4"/>
  <c r="T17" i="4" l="1"/>
  <c r="T19" i="4" s="1"/>
  <c r="G20" i="4" s="1"/>
  <c r="F14" i="7"/>
  <c r="F15" i="8"/>
  <c r="R19" i="4"/>
  <c r="U17" i="4"/>
  <c r="S19" i="4"/>
  <c r="G14" i="7" l="1"/>
  <c r="G77" i="7" s="1"/>
  <c r="F77" i="7"/>
  <c r="G15" i="8"/>
  <c r="F78" i="8"/>
  <c r="U19" i="4"/>
  <c r="S20" i="4" s="1"/>
  <c r="C14" i="6"/>
  <c r="C76" i="6" s="1"/>
  <c r="G78" i="8" l="1"/>
  <c r="H15" i="8"/>
  <c r="J15" i="8" l="1"/>
  <c r="J78" i="8" s="1"/>
  <c r="H78" i="8"/>
</calcChain>
</file>

<file path=xl/sharedStrings.xml><?xml version="1.0" encoding="utf-8"?>
<sst xmlns="http://schemas.openxmlformats.org/spreadsheetml/2006/main" count="660" uniqueCount="379">
  <si>
    <t>INFORMAÇÕES PARA ARQUIVO NO REGISTRO DE IMÓVEIS</t>
  </si>
  <si>
    <t>(Lei 4.591 - 16/12/64 - Art. 32 e ABNT NBR 12721)</t>
  </si>
  <si>
    <t>QUADRO VI - Memorial Descritivo dos Equipamentos</t>
  </si>
  <si>
    <t>Folha No</t>
  </si>
  <si>
    <t>Local do imóvel:</t>
  </si>
  <si>
    <t>Adotar numeração seguida do quadro I ao VIII</t>
  </si>
  <si>
    <t>Total de folhas:</t>
  </si>
  <si>
    <t>INCORPORADOR</t>
  </si>
  <si>
    <t>Profissional Responsável:</t>
  </si>
  <si>
    <t>Nome:</t>
  </si>
  <si>
    <t>Assinatura:</t>
  </si>
  <si>
    <t>Data:</t>
  </si>
  <si>
    <t>EQUIPAMENTOS</t>
  </si>
  <si>
    <t>TIPO (OU MARCA)</t>
  </si>
  <si>
    <t>ACABAMENTO</t>
  </si>
  <si>
    <t>DETALHES GERAIS</t>
  </si>
  <si>
    <t>Instalações elétricas</t>
  </si>
  <si>
    <t>Linha popular</t>
  </si>
  <si>
    <t>Montagens e Instalações acabadas</t>
  </si>
  <si>
    <t>Conforme projetos anotados no CREA-GO</t>
  </si>
  <si>
    <t>Aparelho sanitário</t>
  </si>
  <si>
    <t>Louça branca</t>
  </si>
  <si>
    <t>Instalações hidráulicas</t>
  </si>
  <si>
    <t>Telhas</t>
  </si>
  <si>
    <t>Fibrocimento / cerâmica</t>
  </si>
  <si>
    <t>Ondulada / americana</t>
  </si>
  <si>
    <t>Portas e portais</t>
  </si>
  <si>
    <t>Madeira Laminada</t>
  </si>
  <si>
    <t>Verniz</t>
  </si>
  <si>
    <t>Vidro</t>
  </si>
  <si>
    <t>Blindex</t>
  </si>
  <si>
    <t>Metais</t>
  </si>
  <si>
    <t>Cromado/ PVC</t>
  </si>
  <si>
    <t>Janelas</t>
  </si>
  <si>
    <t>aluminio</t>
  </si>
  <si>
    <t>Eletrostatica</t>
  </si>
  <si>
    <t xml:space="preserve"> RESUMO DE ÁREAS E FRAÇÕES IDEAIS</t>
  </si>
  <si>
    <t xml:space="preserve">LOCALIZAÇÃO: </t>
  </si>
  <si>
    <t>{RUA}, {COMPLEMENTO}; {SETOR} - {CIDADE}</t>
  </si>
  <si>
    <t>Área do Terreno:</t>
  </si>
  <si>
    <t>m²</t>
  </si>
  <si>
    <t>Área total construída:</t>
  </si>
  <si>
    <t xml:space="preserve"> UNIDADES</t>
  </si>
  <si>
    <t xml:space="preserve"> ÁREA CONSTRUIDA (m2) PRIVATIVA + COMUM </t>
  </si>
  <si>
    <t xml:space="preserve"> ÁREA DESCOBERTA NÃO CONSTRUIDA (m2) PRIVATIVA + COMUM</t>
  </si>
  <si>
    <t xml:space="preserve"> TOTAL (m2)</t>
  </si>
  <si>
    <t>FRAÇÃO IDEAL</t>
  </si>
  <si>
    <t xml:space="preserve">        %</t>
  </si>
  <si>
    <t>FRAÇÃO  1</t>
  </si>
  <si>
    <t>CASA 1</t>
  </si>
  <si>
    <t>({ÁREA CONSTRUÍDA PRIVATIVA}+{ÁREA CONSTRUÍDA COMUM})</t>
  </si>
  <si>
    <t>({ÁREA DESCOBERTA PRIVATIVA}+{ÁREA DESCOBERTA COMUM})</t>
  </si>
  <si>
    <t>TOTAL</t>
  </si>
  <si>
    <t>{CIDADE} , {DATA HOJE}</t>
  </si>
  <si>
    <t>____________________________________________</t>
  </si>
  <si>
    <t>{RESPONSÁVEL TÉCNICO}</t>
  </si>
  <si>
    <t>{CREA}</t>
  </si>
  <si>
    <t>NBR 12.721  -  INFORMAÇÕES PRELIMINARES</t>
  </si>
  <si>
    <t>FOLHA No</t>
  </si>
  <si>
    <t xml:space="preserve">1. </t>
  </si>
  <si>
    <t>1.1</t>
  </si>
  <si>
    <t>{IMCORPORADOR}</t>
  </si>
  <si>
    <t>1.2</t>
  </si>
  <si>
    <t>CNPJ / CPF:</t>
  </si>
  <si>
    <t>{DOC. INCORPORADOR}</t>
  </si>
  <si>
    <t>1.3</t>
  </si>
  <si>
    <t>Endereço:</t>
  </si>
  <si>
    <t>2.</t>
  </si>
  <si>
    <t>RESPONSABILIDADE TÉCNICA PELAS INFORMAÇÕES E CÁLCULOS</t>
  </si>
  <si>
    <t>2.1</t>
  </si>
  <si>
    <t>Profissional Resposável Técnico:</t>
  </si>
  <si>
    <t>2.2</t>
  </si>
  <si>
    <t>Número de registro profissional no CREA:</t>
  </si>
  <si>
    <t>2.3</t>
  </si>
  <si>
    <t>Anotação de Responsabilidade Técnica (ART.):</t>
  </si>
  <si>
    <t>2.4</t>
  </si>
  <si>
    <t>3.</t>
  </si>
  <si>
    <t>DADOS DO PROJETO / IMÓVEL</t>
  </si>
  <si>
    <t>3.1</t>
  </si>
  <si>
    <t>Nome do Edifício:</t>
  </si>
  <si>
    <t>{NOME DO EMPREENDIMENTO}</t>
  </si>
  <si>
    <t>3.2</t>
  </si>
  <si>
    <t>Local da Construção:</t>
  </si>
  <si>
    <t>3.3</t>
  </si>
  <si>
    <t>Cidade / UF:</t>
  </si>
  <si>
    <t>SENADOR CANEDO</t>
  </si>
  <si>
    <t>GO</t>
  </si>
  <si>
    <t>3.4</t>
  </si>
  <si>
    <t>Designação Projeto-padrão da NBR 12.721 mais semelhante ao imóvel</t>
  </si>
  <si>
    <t>R</t>
  </si>
  <si>
    <t>X</t>
  </si>
  <si>
    <t>CS</t>
  </si>
  <si>
    <t>CL</t>
  </si>
  <si>
    <t>CG</t>
  </si>
  <si>
    <t>CP</t>
  </si>
  <si>
    <t>CP1Q</t>
  </si>
  <si>
    <t>3.5</t>
  </si>
  <si>
    <t>Quantidade de unidades autônomas:</t>
  </si>
  <si>
    <t>{Nº DE UNIDADES} UNIDADES ( CASA 01 A {Nº DE UNIDADES})</t>
  </si>
  <si>
    <t>3.6</t>
  </si>
  <si>
    <t>Padrão de Acabamento:</t>
  </si>
  <si>
    <t>NORMAL</t>
  </si>
  <si>
    <t>3.7</t>
  </si>
  <si>
    <t>Números de Pavimentos:</t>
  </si>
  <si>
    <t>01 PAVIMENTO ( TÉRREO)</t>
  </si>
  <si>
    <t>3.8</t>
  </si>
  <si>
    <t>Quantidade de Vagas de estacionamento para Veículos:</t>
  </si>
  <si>
    <t>3.8.1</t>
  </si>
  <si>
    <t>Vagas de Estacionamento (Unidade Autônoma)</t>
  </si>
  <si>
    <t>01 VAGA POR CASA</t>
  </si>
  <si>
    <t>3.8.2</t>
  </si>
  <si>
    <t>Vagas de Estacionamento (acessório de Unidade Autônoma)</t>
  </si>
  <si>
    <t>3.8.3</t>
  </si>
  <si>
    <t>Vagas de Estacionamento (áreas de uso comum)</t>
  </si>
  <si>
    <t>3.9</t>
  </si>
  <si>
    <t>Área do Lote / Terreno:</t>
  </si>
  <si>
    <t>3.10</t>
  </si>
  <si>
    <t>Data de aprovação do projeto arquitetônico:</t>
  </si>
  <si>
    <t>3.11</t>
  </si>
  <si>
    <t>Número do Alvará de aprovação do projeto arquitetônico:</t>
  </si>
  <si>
    <t>4.</t>
  </si>
  <si>
    <t>INFORMAÇÕES PLANILHAS / QUADROS</t>
  </si>
  <si>
    <t xml:space="preserve">Esta é a primeira folha de um total de       </t>
  </si>
  <si>
    <t>folhas, todas numeradas seguidamente e assinadas conjuntamente</t>
  </si>
  <si>
    <t xml:space="preserve">pelo profissional responsável técnico, incorporador / proprietário, para arquivamento e registro junto ao competente Registro de </t>
  </si>
  <si>
    <t>Imóveis, em atendimento ao disposto na Lei 4.591, de 16 de dezembro de 1.964.</t>
  </si>
  <si>
    <t>5.</t>
  </si>
  <si>
    <t>DATA, LOCAL, ASSINATURAS E CARIMBOS</t>
  </si>
  <si>
    <t xml:space="preserve">INCORPORADOR / PROPRIETARIO: </t>
  </si>
  <si>
    <t>PROFISSIONAL RESPONSÁVEL:</t>
  </si>
  <si>
    <t>Obs.: Os quadros apresentados neste Anexo poderão ser reproduzidos mantendo-se o formato original, sendo vedada a
alteração da numeração de quadros e colunas, designações e especificações</t>
  </si>
  <si>
    <t>QUADRO I - Cálculo das Áreas nos Pavimentos e da Área Global - Colunas 1 a 18</t>
  </si>
  <si>
    <t>LOCAL DO IMÓVEL:</t>
  </si>
  <si>
    <t>{DATA HOJE}</t>
  </si>
  <si>
    <t>Registro no CREA:</t>
  </si>
  <si>
    <t>ÁREAS DE DIVISÃO NÃO PROPORCIONAL</t>
  </si>
  <si>
    <t>ÁREAS DE DIVISÃO PROPORCIONAL</t>
  </si>
  <si>
    <t>ÁREA DO PAVIMENTO</t>
  </si>
  <si>
    <t>QUANTIDADE (número de pavimentos idênticos)</t>
  </si>
  <si>
    <t>Pavimento</t>
  </si>
  <si>
    <t>ÁREA PRIVATIVA</t>
  </si>
  <si>
    <t>ÁREA DE USO COMUM</t>
  </si>
  <si>
    <t>ÁREAS DE USO COMUM</t>
  </si>
  <si>
    <t>Coberta padrão</t>
  </si>
  <si>
    <t>Coberta de padrão diferente ou descoberta</t>
  </si>
  <si>
    <t>TOTAIS</t>
  </si>
  <si>
    <t>Real</t>
  </si>
  <si>
    <t>Equivalente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</si>
  <si>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Real                                                                                                                                                 (2+3)                                                                                                                                               </t>
  </si>
  <si>
    <t>Equivalente em área de custo padrão (2+4)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</si>
  <si>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Real                                                                                                                                                 (7+8)                                                                                                                                               </t>
  </si>
  <si>
    <t>Equivalente em área de custo padrão (7+9)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</si>
  <si>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Real                                                                                                                                                 (12+13)                                                                                                                                               </t>
  </si>
  <si>
    <t>Equivalente em área de custo padrão (12+14)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</si>
  <si>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Real (5+10+15)                                                                                                                                               </t>
  </si>
  <si>
    <t>Equivalente em área de custo padrão (6+11+16)</t>
  </si>
  <si>
    <t>TÉRREO</t>
  </si>
  <si>
    <t>ÁREA REAL GLOBAL (Total da coluna 17)</t>
  </si>
  <si>
    <t>ÁREA EQUIVALENTE GLOBAL (Total de Coluna 18)</t>
  </si>
  <si>
    <t>OBSERVAÇÕES</t>
  </si>
  <si>
    <t>QUADRO II - Cálculo das Áreas das Unidades Autônomas - Colunas 19 a 38</t>
  </si>
  <si>
    <t>Unidade</t>
  </si>
  <si>
    <t>Coeficien-te de proporcio-nalidade      %</t>
  </si>
  <si>
    <t>ÁREA DA UNIDADE</t>
  </si>
  <si>
    <t>QUANTIDADE (número de unidades idênticas)</t>
  </si>
  <si>
    <t>Área total equivalen-te em área de custo padrão (24+29)</t>
  </si>
  <si>
    <t>Coberta Padrão</t>
  </si>
  <si>
    <t xml:space="preserve">                                                                                                                                                   Coberta Padrão</t>
  </si>
  <si>
    <t>Equivalen-te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</si>
  <si>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Real                                                                                                                                                 (20+21)                                                                                                                                               </t>
  </si>
  <si>
    <t>Equivalen-te em área de custo padrão (20+22)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</si>
  <si>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Real                                                                                                                                                 (25+26)                                                                                                                                               </t>
  </si>
  <si>
    <t>Equivalen-te em área de custo padrão (25+27)</t>
  </si>
  <si>
    <t xml:space="preserve">                                                                                                                                                       Real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</si>
  <si>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Real                                                                                                                                                 (32+33)                                                                                                                                               </t>
  </si>
  <si>
    <t>Equivalen-te em área de custo padrão (32+34)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</si>
  <si>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Real                                                                                                                                                 (23+28+35)                                                                                                                                               </t>
  </si>
  <si>
    <t>Equivalen-te em área de custo padrão (30+36)</t>
  </si>
  <si>
    <t>(30 / ∑30)</t>
  </si>
  <si>
    <t>(31 x ∑12)</t>
  </si>
  <si>
    <t>(31 x ∑13)</t>
  </si>
  <si>
    <t>(31 x ∑14)</t>
  </si>
  <si>
    <t>CASA 01</t>
  </si>
  <si>
    <t>ÁREA REAL GLOBAL (Total da coluna 37)</t>
  </si>
  <si>
    <t>ÁREA EQUIVALENTE GLOBAL (Total de Coluna 38)</t>
  </si>
  <si>
    <t xml:space="preserve">INFORMAÇÕES PARA ARQUIVO NO REGISTRO DE IMÓVEIS  </t>
  </si>
  <si>
    <t>QUADRO III - Avaliação do Custo Global e Unitário da Construção</t>
  </si>
  <si>
    <t>Local do imóvel</t>
  </si>
  <si>
    <t>INFORMAÇÕES GERAIS</t>
  </si>
  <si>
    <t>1.  Projeto-padrão (Lei 4.591, Art. 53 § 1) que mais se assemelha ao da incorporação projetada</t>
  </si>
  <si>
    <t>CLASSIFICAÇÃO GERAL</t>
  </si>
  <si>
    <t>USO RESIDENCIAL</t>
  </si>
  <si>
    <t>Designação</t>
  </si>
  <si>
    <t>Padrão de acabamento</t>
  </si>
  <si>
    <t>Número de pavimentos</t>
  </si>
  <si>
    <t>Área equivalente total do projeto-padrão adotado</t>
  </si>
  <si>
    <t>Dependências de uso privativo da unidade autônoma</t>
  </si>
  <si>
    <t>Quartos</t>
  </si>
  <si>
    <t>Salas</t>
  </si>
  <si>
    <t>Banheiros ou WC</t>
  </si>
  <si>
    <t>Suíte</t>
  </si>
  <si>
    <t>PIS</t>
  </si>
  <si>
    <t>B</t>
  </si>
  <si>
    <t>PREENCHER</t>
  </si>
  <si>
    <t>2.  Sindicato que forneceu o Custo Unitário Básico:</t>
  </si>
  <si>
    <t xml:space="preserve">SINDUSCON </t>
  </si>
  <si>
    <t xml:space="preserve">3.  Custo Unitário Básico para o mês de:              </t>
  </si>
  <si>
    <t>R$ por m2</t>
  </si>
  <si>
    <t>=</t>
  </si>
  <si>
    <t>4.  Áreas Globais do Prédio Projetado</t>
  </si>
  <si>
    <t xml:space="preserve">4.1  Área Real Privativa, Global (QI, E5)               </t>
  </si>
  <si>
    <t>m2</t>
  </si>
  <si>
    <t>%</t>
  </si>
  <si>
    <t xml:space="preserve">4.2  Áreal Real de Uso Comum, Global (QI, E10 + E15)       </t>
  </si>
  <si>
    <t xml:space="preserve">4.3  Área Real, Global (QI, E17)                                        </t>
  </si>
  <si>
    <t xml:space="preserve">4.4  Área Equivalente* Privativa Global (QI, E6)     </t>
  </si>
  <si>
    <t xml:space="preserve">4.5  Áreal Equivalente* de Uso Comum Global (QI, E11 + E16)  </t>
  </si>
  <si>
    <t xml:space="preserve">4.6  Áreal Equivalente* Global (QI, E18)                      </t>
  </si>
  <si>
    <t>* obs: áreas equivalentes em área de custo padrão</t>
  </si>
  <si>
    <t>AVALIAÇÃO DO CUSTO GLOBAL DA CONSTRUÇÃO E DO CUSTO POR m2 DE CONSTRUÇÃO</t>
  </si>
  <si>
    <t>5.  Custo Básico Global da Edificação (4.6 x Custo Unitário Básico (3))</t>
  </si>
  <si>
    <t>R$</t>
  </si>
  <si>
    <t>5.1  Composição do Custo Global básico da Edificação</t>
  </si>
  <si>
    <t>5.1.1  Custo básico de Materiais e outros (5. X % Mat. do CUB inf. em 3.)</t>
  </si>
  <si>
    <t>5.1.2  Custo básico de Mão-de-Obra (5. X % Mão-de-Obra do CUB inf. em 3.)</t>
  </si>
  <si>
    <t>6.  Parcelas Adicionais não Consideradas no Projeto-padrão</t>
  </si>
  <si>
    <t>6.1  Fundações</t>
  </si>
  <si>
    <t>6.2  Elevador(es)</t>
  </si>
  <si>
    <t>6.3  Equipamentos e Instalações, tais como:</t>
  </si>
  <si>
    <t>6.3.1  Fogões</t>
  </si>
  <si>
    <t>6.3.2  Aquecedores</t>
  </si>
  <si>
    <t>6.3.3  Bombas de Recalque</t>
  </si>
  <si>
    <t>6.3.4  Incineração</t>
  </si>
  <si>
    <t>6.3.5  Ar condicionado</t>
  </si>
  <si>
    <t>6.3.6  Calefação</t>
  </si>
  <si>
    <t>6.3.7  Ventilação e Exaustão</t>
  </si>
  <si>
    <t>6.3.8  Outros (Discriminar)</t>
  </si>
  <si>
    <t>6.4  "Playground"</t>
  </si>
  <si>
    <t>6.5  Obras e Serviços Complementares:</t>
  </si>
  <si>
    <t>6.5.1  Urbanização</t>
  </si>
  <si>
    <t>6.5.2  Recreação (Piscinas, Campos de Esporte)</t>
  </si>
  <si>
    <t>6.5.3  Ajardinamento</t>
  </si>
  <si>
    <t>6.5.4  Instalação e Regulamentação do Condomínio</t>
  </si>
  <si>
    <t>6.5.5  Outros</t>
  </si>
  <si>
    <t>6.6  Outros Serviços (Discriminar)</t>
  </si>
  <si>
    <t>7.  1o Subtotal</t>
  </si>
  <si>
    <t>8.  Impostos, taxas e emolumentos cartoriais:</t>
  </si>
  <si>
    <t>9.  Projetos:</t>
  </si>
  <si>
    <t>9.1  Projetos Arquitetônicos</t>
  </si>
  <si>
    <t>9.2  Projeto Estrutural</t>
  </si>
  <si>
    <t>9.3  Projeto de Instalações</t>
  </si>
  <si>
    <t>9.4  Projetos Especiais</t>
  </si>
  <si>
    <t>10.  2o Subtotal</t>
  </si>
  <si>
    <t>11.  Remuneração do Construtor</t>
  </si>
  <si>
    <t>12.  Remuneração do Incorporador</t>
  </si>
  <si>
    <t>13.  Custo Global da Construção</t>
  </si>
  <si>
    <t>14.  Custo unitário da obra em cálculo [Custo total / área equivalente (13) / (4.6)]</t>
  </si>
  <si>
    <t>/ m2</t>
  </si>
  <si>
    <t>QUADRO IV A - Avaliação do Custo de Cosntrução de cada Unidade Autônoma e cálculo do rerrateio de Sub-rogação - Colunas 39 a 52</t>
  </si>
  <si>
    <t>Adotar numeração seguida</t>
  </si>
  <si>
    <t>Designação da unidade</t>
  </si>
  <si>
    <t>Custo de Construção da Unidade Autônoma</t>
  </si>
  <si>
    <t>Rerrateio do custo (quando houver unidade(s) dada(s) em pagamento do terreno)</t>
  </si>
  <si>
    <t>Quantidade (número de unidades idênticas)</t>
  </si>
  <si>
    <t>Área equivalente em área de custo padrão das unidades</t>
  </si>
  <si>
    <t>CUSTO</t>
  </si>
  <si>
    <t>Coeficiente de proporcionali-dade (para rateio do custo da construção)</t>
  </si>
  <si>
    <t>Coeficiente de proporcionali-dade (das unidades que suportam o custo da construção)</t>
  </si>
  <si>
    <t>Coeficiente de rateio de construção total (rerrateio do coeficiente de proporcionalidade: Incorpora coeficiente das unidades dadas em pagamento do terreno)</t>
  </si>
  <si>
    <t>Área Equivalente em Área de Custo Padrão Total (rerrateio das áreas equivalentes em área de custo: Área Própria + quota da Área Sub-rogada)</t>
  </si>
  <si>
    <t>Custo de Construção total (rerrateio do custo)</t>
  </si>
  <si>
    <t>Custo da sub-rogação suportado por cada unidade</t>
  </si>
  <si>
    <t>Área real das unidades sub-rogadas</t>
  </si>
  <si>
    <t>Quota da área real dada em pagamento do terreno</t>
  </si>
  <si>
    <t>Total (total de unidades idênticas sub-rogadas ou não)</t>
  </si>
  <si>
    <t>Sub-rogadas</t>
  </si>
  <si>
    <t>Diferença (unidades que suportam o custo da edificação)</t>
  </si>
  <si>
    <t>(QII - 19)</t>
  </si>
  <si>
    <t>(QII - 38)</t>
  </si>
  <si>
    <t>(31 x item 13 QIII)</t>
  </si>
  <si>
    <t>(QII - 31)</t>
  </si>
  <si>
    <t>(42)</t>
  </si>
  <si>
    <t>(43 / ∑43)</t>
  </si>
  <si>
    <t>(44 x ∑40)</t>
  </si>
  <si>
    <t>(44 x item 13 QIII)</t>
  </si>
  <si>
    <t>(46 - 41)</t>
  </si>
  <si>
    <t>(QII - 37)</t>
  </si>
  <si>
    <t>(44 x ∑48)</t>
  </si>
  <si>
    <t>(50 - 51)</t>
  </si>
  <si>
    <t>OBSERVAÇÃO - INDICAR UNIDADES SUB-ROGADAS:</t>
  </si>
  <si>
    <t>1.  Para obtenção dos totais das colunas 40 a 42, utiliza-se o número total de unidades idênticas (50).</t>
  </si>
  <si>
    <t>2.  Para obtenção dos totais das colunas 43 a 47 e 49, utiliza-se o número de unidades que suportam o custo da edificação (52).</t>
  </si>
  <si>
    <t>3.  Quando houver unidade(s) dada(s) em pagamento do terreno e o resultado da coluna 52 for nulo, a(s) linha(s) correspondente(s) deverá(ão) ser nula(s) também nas colunas 43 a 47 e 49.</t>
  </si>
  <si>
    <t>4.  Para obtenção do total da coluna 48, utiliza-se o número de unidades sub-rogadas (51).</t>
  </si>
  <si>
    <t>QUADRO IV B - Resumo das áreas reais para os atos de registro e escrituração - Colunas A a G</t>
  </si>
  <si>
    <t>ÁREAS REAIS</t>
  </si>
  <si>
    <t>Designação da unidade (19)</t>
  </si>
  <si>
    <t>ÁREA PRIVATIVA (PRINCIPAL)</t>
  </si>
  <si>
    <t>OUTRAS ÁREAS PRIVATIVAS (acessórias)</t>
  </si>
  <si>
    <t>ÁREA PRIVATIVA TOTAL                        (23) = (B + C)</t>
  </si>
  <si>
    <t>ÁREA DE USO COMUM                        (28 + 35)</t>
  </si>
  <si>
    <t>ÁREA REAL TOTAL             (37) = (D + E)</t>
  </si>
  <si>
    <t>COEFICIENTE DE PROPORCIONALIDA-DE                               (31)</t>
  </si>
  <si>
    <t>A</t>
  </si>
  <si>
    <t>C</t>
  </si>
  <si>
    <t>D</t>
  </si>
  <si>
    <t>E</t>
  </si>
  <si>
    <t>F</t>
  </si>
  <si>
    <t>G</t>
  </si>
  <si>
    <t xml:space="preserve">Observação 1: </t>
  </si>
  <si>
    <t>Substituir este quadro pelo quadro IV-B-1 quando for exigida a discriminação de área de terreno de uso exclusivo.</t>
  </si>
  <si>
    <t>Observação 2:</t>
  </si>
  <si>
    <t>As áreas das vagas de garagem devem constar:</t>
  </si>
  <si>
    <t>- na coluna C, quando forem acessórias, conforme definido em 3.7.2.1.2;</t>
  </si>
  <si>
    <t>- na coluna E, quando forem consideradas como área comum;</t>
  </si>
  <si>
    <t>- quando forem consideradas unidades autônomas:</t>
  </si>
  <si>
    <t xml:space="preserve">           - a área principal da vaga será lançada na coluna B;</t>
  </si>
  <si>
    <t xml:space="preserve">           - a área comum, correspondente à vaga, lançada na coluna E;</t>
  </si>
  <si>
    <t xml:space="preserve">           - a área total da vaga, soma da área principal com a área comum, lançada na coluna F;</t>
  </si>
  <si>
    <t xml:space="preserve">           - o respectivo coeficiente de proporcionalidade, lançado na coluna G.</t>
  </si>
  <si>
    <t>QUADRO IV B.1 - Resumo das áreas reais para os atos de registro e escrituração - Colunas A a J</t>
  </si>
  <si>
    <t>ÁREA DE TERRENO</t>
  </si>
  <si>
    <t>ÁREA REAL TOTAL              (37) = (D + E)</t>
  </si>
  <si>
    <t>ÁREA DE TERRENO DE USO EXCLUSIVO (inclui área do terreno na projeção da edificação)</t>
  </si>
  <si>
    <t>ÁREA DE TERRENO DE USO COMUM</t>
  </si>
  <si>
    <t>ÁREA DE TERRENO TOTAL</t>
  </si>
  <si>
    <t>COEFICIENTE DE PROPORCIONA-LIDADE                               (31)</t>
  </si>
  <si>
    <t>H</t>
  </si>
  <si>
    <t>I</t>
  </si>
  <si>
    <t>J</t>
  </si>
  <si>
    <t xml:space="preserve">Observação: </t>
  </si>
  <si>
    <t>Este quadro deverá substituir o quadro QIV-B, quando for exigida a discriminação de área de terreno de uso exclusivo.</t>
  </si>
  <si>
    <t xml:space="preserve"> Quando não for o caso, deverá ser omitido na apresentação do conjunto de planilhas.</t>
  </si>
  <si>
    <t>QUADRO V - INFORMAÇÕES GERAIS</t>
  </si>
  <si>
    <t>a) Tipo de Empreendimento:</t>
  </si>
  <si>
    <t>Condomínio Residencial composto por habitação seriada;</t>
  </si>
  <si>
    <t>b) Incorporador:</t>
  </si>
  <si>
    <t>c) Proprietário do Terreno:</t>
  </si>
  <si>
    <t>d) Autores dos Projetos:</t>
  </si>
  <si>
    <t>e) Descrição do Empreendimento:</t>
  </si>
  <si>
    <t xml:space="preserve">O empreendimento consiste de  01 (um) terreno de 15.981,3 1M², dividido em 62 (sessenta e duas) frações ideais referente as casas C-1  a  C-62 </t>
  </si>
  <si>
    <t xml:space="preserve">A fração ideal  1  a  6 com área </t>
  </si>
  <si>
    <t xml:space="preserve">m², corresponde a </t>
  </si>
  <si>
    <t>da área total.</t>
  </si>
  <si>
    <t xml:space="preserve">A fração ideal  7  a  30 com área </t>
  </si>
  <si>
    <t xml:space="preserve">A fração ideal  31  a  39 com área </t>
  </si>
  <si>
    <t xml:space="preserve">A fração ideal  40  a  51 com área </t>
  </si>
  <si>
    <t xml:space="preserve">A fração ideal  52  a  61 com área </t>
  </si>
  <si>
    <t xml:space="preserve">A fração ideal  62 com área </t>
  </si>
  <si>
    <t>f) Descrição das residências seriadas:</t>
  </si>
  <si>
    <t>CASAS 01 A 62 - CONFORME MEMORIAL DE INSTITUIÇÃO DE CONDOMÍNIO E CERTIDÃO DE LANÇAMENTO.</t>
  </si>
  <si>
    <t>QUADRO VII - MEMORIAL DESCRITIVO DOS ACABAMENTOS (Dependências de uso privativo)</t>
  </si>
  <si>
    <t>DEPENDÊNCIAS</t>
  </si>
  <si>
    <t>PISOS</t>
  </si>
  <si>
    <t>PAREDES</t>
  </si>
  <si>
    <t>TETOS</t>
  </si>
  <si>
    <t>OUTROS</t>
  </si>
  <si>
    <t>Sala de estar e circulação</t>
  </si>
  <si>
    <t>Cerâmica</t>
  </si>
  <si>
    <t>Massa única</t>
  </si>
  <si>
    <t>Laje</t>
  </si>
  <si>
    <t>Banheiro</t>
  </si>
  <si>
    <t>cerâmica</t>
  </si>
  <si>
    <t>Cozinha</t>
  </si>
  <si>
    <t>Garagem</t>
  </si>
  <si>
    <t>Textura</t>
  </si>
  <si>
    <t>Área de Serviço</t>
  </si>
  <si>
    <t>QUADRO VIII - MEMORIAL DESCRITIVO DOS ACABAMENTOS (Dependências de uso comum)</t>
  </si>
  <si>
    <t>ÁREA DE FESTAS 01</t>
  </si>
  <si>
    <t>CERÂMICA</t>
  </si>
  <si>
    <t>TEXTURA</t>
  </si>
  <si>
    <t>LAJE</t>
  </si>
  <si>
    <t>ÁREA DE FESTAS 02</t>
  </si>
  <si>
    <t>WC MASCULINO</t>
  </si>
  <si>
    <t>WC FEMININO</t>
  </si>
  <si>
    <t>GUARITA</t>
  </si>
  <si>
    <t>WC GUARITA</t>
  </si>
  <si>
    <t>LIXEIRAS</t>
  </si>
  <si>
    <t>CONCRETO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</si>
</sst>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0_);\(#,##0.00000\)"/>
    <numFmt numFmtId="165" formatCode="dd/mm/yy"/>
    <numFmt numFmtId="166" formatCode="#,##0_ ;\-#,##0\ "/>
    <numFmt numFmtId="167" formatCode="#,##0.00_ ;\-#,##0.00\ "/>
    <numFmt numFmtId="168" formatCode="#,##0.00000_ ;\-#,##0.00000\ "/>
    <numFmt numFmtId="169" formatCode="0_ ;\-0\ "/>
  </numFmts>
  <fonts count="24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6.5"/>
      <name val="Arial"/>
      <family val="2"/>
    </font>
    <font>
      <b/>
      <sz val="7"/>
      <name val="Arial"/>
      <family val="2"/>
    </font>
    <font>
      <b/>
      <sz val="7"/>
      <color indexed="8"/>
      <name val="Arial"/>
      <family val="2"/>
    </font>
    <font>
      <sz val="8"/>
      <color rgb="FFFF0000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0"/>
      <color rgb="FF002060"/>
      <name val="Arial"/>
      <family val="2"/>
    </font>
    <font>
      <sz val="8"/>
      <color rgb="FF00206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9"/>
      <color rgb="FF002060"/>
      <name val="Arial"/>
      <family val="2"/>
    </font>
    <font>
      <sz val="9"/>
      <color indexed="8"/>
      <name val="Arial"/>
      <family val="2"/>
    </font>
    <font>
      <sz val="9"/>
      <color rgb="FFFF000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3" fontId="7" fillId="0" borderId="0"/>
    <xf numFmtId="49" fontId="6" fillId="2" borderId="1">
      <alignment horizontal="left" vertical="center" indent="1"/>
    </xf>
    <xf numFmtId="9" fontId="23" fillId="0" borderId="0"/>
  </cellStyleXfs>
  <cellXfs count="498">
    <xf numFmtId="0" fontId="0" fillId="0" borderId="0" xfId="0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39" fontId="3" fillId="0" borderId="0" xfId="0" quotePrefix="1" applyNumberFormat="1" applyFont="1" applyAlignment="1">
      <alignment vertical="center"/>
    </xf>
    <xf numFmtId="39" fontId="3" fillId="0" borderId="0" xfId="0" applyNumberFormat="1" applyFont="1" applyAlignment="1">
      <alignment vertical="center"/>
    </xf>
    <xf numFmtId="39" fontId="3" fillId="0" borderId="2" xfId="0" quotePrefix="1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39" fontId="2" fillId="0" borderId="2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39" fontId="2" fillId="0" borderId="0" xfId="0" applyNumberFormat="1" applyFont="1" applyAlignment="1">
      <alignment vertical="center"/>
    </xf>
    <xf numFmtId="39" fontId="2" fillId="0" borderId="7" xfId="0" applyNumberFormat="1" applyFont="1" applyBorder="1" applyAlignment="1">
      <alignment horizontal="center" vertical="center"/>
    </xf>
    <xf numFmtId="39" fontId="3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quotePrefix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9" fontId="3" fillId="0" borderId="10" xfId="0" applyNumberFormat="1" applyFont="1" applyBorder="1" applyAlignment="1">
      <alignment vertical="center"/>
    </xf>
    <xf numFmtId="39" fontId="3" fillId="0" borderId="4" xfId="0" applyNumberFormat="1" applyFont="1" applyBorder="1" applyAlignment="1">
      <alignment vertical="center"/>
    </xf>
    <xf numFmtId="39" fontId="3" fillId="0" borderId="11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39" fontId="3" fillId="0" borderId="2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39" fontId="3" fillId="0" borderId="8" xfId="0" applyNumberFormat="1" applyFont="1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39" fontId="5" fillId="0" borderId="2" xfId="0" applyNumberFormat="1" applyFont="1" applyBorder="1" applyAlignment="1">
      <alignment vertical="center"/>
    </xf>
    <xf numFmtId="39" fontId="3" fillId="0" borderId="2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vertical="center"/>
    </xf>
    <xf numFmtId="165" fontId="4" fillId="0" borderId="2" xfId="0" quotePrefix="1" applyNumberFormat="1" applyFont="1" applyBorder="1" applyAlignment="1">
      <alignment horizontal="left" vertical="center"/>
    </xf>
    <xf numFmtId="0" fontId="3" fillId="0" borderId="0" xfId="0" quotePrefix="1" applyFont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39" fontId="2" fillId="0" borderId="12" xfId="0" applyNumberFormat="1" applyFont="1" applyBorder="1" applyAlignment="1">
      <alignment vertical="center"/>
    </xf>
    <xf numFmtId="39" fontId="2" fillId="0" borderId="15" xfId="0" applyNumberFormat="1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39" fontId="10" fillId="0" borderId="0" xfId="0" applyNumberFormat="1" applyFont="1" applyAlignment="1">
      <alignment vertical="center"/>
    </xf>
    <xf numFmtId="165" fontId="3" fillId="0" borderId="3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right" vertical="center"/>
    </xf>
    <xf numFmtId="0" fontId="3" fillId="0" borderId="12" xfId="0" applyFont="1" applyBorder="1" applyAlignment="1">
      <alignment horizontal="left" vertical="center"/>
    </xf>
    <xf numFmtId="0" fontId="3" fillId="0" borderId="14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64" fontId="3" fillId="0" borderId="2" xfId="0" applyNumberFormat="1" applyFont="1" applyBorder="1" applyAlignment="1">
      <alignment vertical="center"/>
    </xf>
    <xf numFmtId="39" fontId="2" fillId="0" borderId="14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37" fontId="3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37" fontId="4" fillId="0" borderId="2" xfId="0" applyNumberFormat="1" applyFont="1" applyBorder="1" applyAlignment="1">
      <alignment horizontal="left" vertical="center"/>
    </xf>
    <xf numFmtId="165" fontId="2" fillId="0" borderId="2" xfId="0" quotePrefix="1" applyNumberFormat="1" applyFont="1" applyBorder="1" applyAlignment="1">
      <alignment horizontal="left" vertical="center"/>
    </xf>
    <xf numFmtId="165" fontId="4" fillId="0" borderId="2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37" fontId="3" fillId="0" borderId="14" xfId="0" applyNumberFormat="1" applyFont="1" applyBorder="1" applyAlignment="1">
      <alignment horizontal="center" vertical="center"/>
    </xf>
    <xf numFmtId="39" fontId="2" fillId="0" borderId="5" xfId="0" applyNumberFormat="1" applyFont="1" applyBorder="1" applyAlignment="1">
      <alignment vertical="center"/>
    </xf>
    <xf numFmtId="39" fontId="3" fillId="0" borderId="8" xfId="0" quotePrefix="1" applyNumberFormat="1" applyFont="1" applyBorder="1" applyAlignment="1">
      <alignment vertical="center"/>
    </xf>
    <xf numFmtId="39" fontId="3" fillId="0" borderId="9" xfId="0" applyNumberFormat="1" applyFont="1" applyBorder="1" applyAlignment="1">
      <alignment vertical="center"/>
    </xf>
    <xf numFmtId="39" fontId="10" fillId="0" borderId="7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37" fontId="4" fillId="0" borderId="14" xfId="0" applyNumberFormat="1" applyFont="1" applyBorder="1" applyAlignment="1">
      <alignment horizontal="left" vertical="center"/>
    </xf>
    <xf numFmtId="166" fontId="3" fillId="0" borderId="14" xfId="0" applyNumberFormat="1" applyFont="1" applyBorder="1" applyAlignment="1">
      <alignment horizontal="left" vertical="center"/>
    </xf>
    <xf numFmtId="166" fontId="3" fillId="0" borderId="2" xfId="0" quotePrefix="1" applyNumberFormat="1" applyFont="1" applyBorder="1" applyAlignment="1">
      <alignment horizontal="left" vertical="center"/>
    </xf>
    <xf numFmtId="166" fontId="3" fillId="0" borderId="14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7" fontId="3" fillId="0" borderId="4" xfId="0" applyNumberFormat="1" applyFont="1" applyBorder="1" applyAlignment="1">
      <alignment vertical="center"/>
    </xf>
    <xf numFmtId="167" fontId="3" fillId="0" borderId="7" xfId="0" applyNumberFormat="1" applyFont="1" applyBorder="1" applyAlignment="1">
      <alignment vertical="center"/>
    </xf>
    <xf numFmtId="167" fontId="3" fillId="0" borderId="9" xfId="0" applyNumberFormat="1" applyFont="1" applyBorder="1" applyAlignment="1">
      <alignment vertical="center"/>
    </xf>
    <xf numFmtId="167" fontId="2" fillId="0" borderId="14" xfId="0" applyNumberFormat="1" applyFont="1" applyBorder="1" applyAlignment="1">
      <alignment vertical="center"/>
    </xf>
    <xf numFmtId="167" fontId="4" fillId="0" borderId="4" xfId="0" applyNumberFormat="1" applyFont="1" applyBorder="1" applyAlignment="1">
      <alignment vertical="center"/>
    </xf>
    <xf numFmtId="167" fontId="4" fillId="0" borderId="7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67" fontId="3" fillId="0" borderId="14" xfId="1" applyNumberFormat="1" applyFont="1" applyBorder="1" applyAlignment="1">
      <alignment horizontal="right" vertical="center"/>
    </xf>
    <xf numFmtId="167" fontId="3" fillId="0" borderId="14" xfId="1" applyNumberFormat="1" applyFont="1" applyBorder="1" applyAlignment="1">
      <alignment vertical="center"/>
    </xf>
    <xf numFmtId="167" fontId="3" fillId="0" borderId="0" xfId="1" applyNumberFormat="1" applyFont="1" applyAlignment="1">
      <alignment vertical="center"/>
    </xf>
    <xf numFmtId="167" fontId="3" fillId="0" borderId="2" xfId="1" applyNumberFormat="1" applyFont="1" applyBorder="1" applyAlignment="1">
      <alignment vertical="center"/>
    </xf>
    <xf numFmtId="167" fontId="3" fillId="0" borderId="0" xfId="0" applyNumberFormat="1" applyFont="1" applyAlignment="1">
      <alignment horizontal="right" vertical="center"/>
    </xf>
    <xf numFmtId="167" fontId="3" fillId="0" borderId="2" xfId="0" applyNumberFormat="1" applyFont="1" applyBorder="1" applyAlignment="1">
      <alignment horizontal="right" vertical="center"/>
    </xf>
    <xf numFmtId="39" fontId="2" fillId="0" borderId="8" xfId="0" applyNumberFormat="1" applyFont="1" applyBorder="1" applyAlignment="1">
      <alignment vertical="center"/>
    </xf>
    <xf numFmtId="39" fontId="4" fillId="0" borderId="8" xfId="0" applyNumberFormat="1" applyFont="1" applyBorder="1" applyAlignment="1">
      <alignment vertical="center"/>
    </xf>
    <xf numFmtId="167" fontId="3" fillId="0" borderId="8" xfId="1" applyNumberFormat="1" applyFont="1" applyBorder="1" applyAlignment="1">
      <alignment horizontal="right" vertical="center"/>
    </xf>
    <xf numFmtId="167" fontId="3" fillId="0" borderId="2" xfId="1" applyNumberFormat="1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0" fillId="0" borderId="15" xfId="0" applyFont="1" applyBorder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167" fontId="3" fillId="0" borderId="11" xfId="0" applyNumberFormat="1" applyFont="1" applyBorder="1" applyAlignment="1">
      <alignment vertical="center"/>
    </xf>
    <xf numFmtId="168" fontId="3" fillId="0" borderId="7" xfId="0" applyNumberFormat="1" applyFont="1" applyBorder="1" applyAlignment="1">
      <alignment vertical="center"/>
    </xf>
    <xf numFmtId="164" fontId="3" fillId="0" borderId="8" xfId="0" applyNumberFormat="1" applyFont="1" applyBorder="1" applyAlignment="1">
      <alignment vertical="center"/>
    </xf>
    <xf numFmtId="2" fontId="3" fillId="0" borderId="8" xfId="0" applyNumberFormat="1" applyFont="1" applyBorder="1" applyAlignment="1">
      <alignment vertical="center"/>
    </xf>
    <xf numFmtId="37" fontId="4" fillId="0" borderId="3" xfId="0" applyNumberFormat="1" applyFont="1" applyBorder="1" applyAlignment="1">
      <alignment horizontal="left" vertical="center"/>
    </xf>
    <xf numFmtId="37" fontId="3" fillId="0" borderId="3" xfId="0" applyNumberFormat="1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left" vertical="center"/>
    </xf>
    <xf numFmtId="165" fontId="3" fillId="0" borderId="0" xfId="0" quotePrefix="1" applyNumberFormat="1" applyFont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quotePrefix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68" fontId="3" fillId="0" borderId="20" xfId="0" applyNumberFormat="1" applyFont="1" applyBorder="1" applyAlignment="1">
      <alignment vertical="center"/>
    </xf>
    <xf numFmtId="168" fontId="3" fillId="0" borderId="19" xfId="0" applyNumberFormat="1" applyFont="1" applyBorder="1" applyAlignment="1">
      <alignment vertical="center"/>
    </xf>
    <xf numFmtId="167" fontId="3" fillId="0" borderId="15" xfId="0" applyNumberFormat="1" applyFont="1" applyBorder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67" fontId="3" fillId="0" borderId="23" xfId="0" applyNumberFormat="1" applyFont="1" applyBorder="1" applyAlignment="1">
      <alignment vertical="center"/>
    </xf>
    <xf numFmtId="167" fontId="3" fillId="0" borderId="22" xfId="0" applyNumberFormat="1" applyFont="1" applyBorder="1" applyAlignment="1">
      <alignment vertical="center"/>
    </xf>
    <xf numFmtId="167" fontId="2" fillId="0" borderId="2" xfId="0" applyNumberFormat="1" applyFont="1" applyBorder="1" applyAlignment="1">
      <alignment vertical="center"/>
    </xf>
    <xf numFmtId="167" fontId="5" fillId="0" borderId="2" xfId="0" quotePrefix="1" applyNumberFormat="1" applyFont="1" applyBorder="1" applyAlignment="1">
      <alignment horizontal="left" vertical="center"/>
    </xf>
    <xf numFmtId="167" fontId="5" fillId="0" borderId="3" xfId="0" applyNumberFormat="1" applyFont="1" applyBorder="1" applyAlignment="1">
      <alignment vertical="center"/>
    </xf>
    <xf numFmtId="39" fontId="2" fillId="0" borderId="7" xfId="0" applyNumberFormat="1" applyFont="1" applyBorder="1" applyAlignment="1">
      <alignment horizontal="left" vertical="center"/>
    </xf>
    <xf numFmtId="166" fontId="3" fillId="0" borderId="2" xfId="0" applyNumberFormat="1" applyFont="1" applyBorder="1" applyAlignment="1">
      <alignment horizontal="center" vertical="center"/>
    </xf>
    <xf numFmtId="37" fontId="4" fillId="0" borderId="2" xfId="0" applyNumberFormat="1" applyFont="1" applyBorder="1" applyAlignment="1">
      <alignment horizontal="center" vertical="center"/>
    </xf>
    <xf numFmtId="37" fontId="4" fillId="0" borderId="3" xfId="0" applyNumberFormat="1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2" fillId="3" borderId="12" xfId="0" applyFont="1" applyFill="1" applyBorder="1" applyAlignment="1">
      <alignment vertical="center"/>
    </xf>
    <xf numFmtId="37" fontId="3" fillId="3" borderId="3" xfId="0" quotePrefix="1" applyNumberFormat="1" applyFont="1" applyFill="1" applyBorder="1" applyAlignment="1">
      <alignment horizontal="left" vertical="center"/>
    </xf>
    <xf numFmtId="166" fontId="3" fillId="3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39" fontId="10" fillId="0" borderId="7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39" fontId="2" fillId="0" borderId="8" xfId="0" applyNumberFormat="1" applyFont="1" applyBorder="1" applyAlignment="1">
      <alignment horizontal="left" vertical="center"/>
    </xf>
    <xf numFmtId="39" fontId="2" fillId="0" borderId="14" xfId="0" applyNumberFormat="1" applyFont="1" applyBorder="1" applyAlignment="1">
      <alignment horizontal="center" vertical="center"/>
    </xf>
    <xf numFmtId="39" fontId="2" fillId="0" borderId="15" xfId="0" applyNumberFormat="1" applyFont="1" applyBorder="1" applyAlignment="1">
      <alignment horizontal="center" vertical="center"/>
    </xf>
    <xf numFmtId="39" fontId="10" fillId="0" borderId="16" xfId="0" applyNumberFormat="1" applyFont="1" applyBorder="1" applyAlignment="1">
      <alignment horizontal="center" vertical="center" wrapText="1"/>
    </xf>
    <xf numFmtId="39" fontId="2" fillId="0" borderId="12" xfId="0" applyNumberFormat="1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165" fontId="3" fillId="0" borderId="2" xfId="0" quotePrefix="1" applyNumberFormat="1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/>
    <xf numFmtId="0" fontId="0" fillId="0" borderId="36" xfId="0" applyBorder="1"/>
    <xf numFmtId="0" fontId="0" fillId="4" borderId="36" xfId="0" applyFill="1" applyBorder="1" applyAlignment="1">
      <alignment horizont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8" fillId="0" borderId="38" xfId="0" applyFont="1" applyBorder="1" applyAlignment="1">
      <alignment vertical="center"/>
    </xf>
    <xf numFmtId="0" fontId="13" fillId="0" borderId="0" xfId="0" applyFont="1" applyAlignment="1">
      <alignment vertical="center"/>
    </xf>
    <xf numFmtId="2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8" fillId="0" borderId="44" xfId="0" applyFont="1" applyBorder="1" applyAlignment="1">
      <alignment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2" fontId="15" fillId="0" borderId="46" xfId="1" applyNumberFormat="1" applyFont="1" applyBorder="1" applyAlignment="1">
      <alignment horizontal="center" vertical="center"/>
    </xf>
    <xf numFmtId="2" fontId="15" fillId="0" borderId="4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166" fontId="3" fillId="0" borderId="15" xfId="0" quotePrefix="1" applyNumberFormat="1" applyFont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3" fillId="0" borderId="50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16" fillId="0" borderId="5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55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7" fillId="0" borderId="53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39" fontId="3" fillId="0" borderId="30" xfId="0" applyNumberFormat="1" applyFont="1" applyBorder="1" applyAlignment="1">
      <alignment vertical="center"/>
    </xf>
    <xf numFmtId="39" fontId="3" fillId="0" borderId="32" xfId="0" applyNumberFormat="1" applyFont="1" applyBorder="1" applyAlignment="1">
      <alignment vertical="center"/>
    </xf>
    <xf numFmtId="39" fontId="3" fillId="0" borderId="33" xfId="0" applyNumberFormat="1" applyFont="1" applyBorder="1" applyAlignment="1">
      <alignment vertical="center"/>
    </xf>
    <xf numFmtId="39" fontId="3" fillId="0" borderId="34" xfId="0" applyNumberFormat="1" applyFont="1" applyBorder="1" applyAlignment="1">
      <alignment vertical="center"/>
    </xf>
    <xf numFmtId="39" fontId="2" fillId="0" borderId="33" xfId="0" applyNumberFormat="1" applyFont="1" applyBorder="1" applyAlignment="1">
      <alignment vertical="center"/>
    </xf>
    <xf numFmtId="39" fontId="2" fillId="0" borderId="34" xfId="0" applyNumberFormat="1" applyFont="1" applyBorder="1" applyAlignment="1">
      <alignment vertical="center"/>
    </xf>
    <xf numFmtId="39" fontId="10" fillId="0" borderId="33" xfId="0" applyNumberFormat="1" applyFont="1" applyBorder="1" applyAlignment="1">
      <alignment vertical="center"/>
    </xf>
    <xf numFmtId="39" fontId="10" fillId="0" borderId="34" xfId="0" applyNumberFormat="1" applyFont="1" applyBorder="1" applyAlignment="1">
      <alignment vertical="center"/>
    </xf>
    <xf numFmtId="39" fontId="2" fillId="0" borderId="58" xfId="0" applyNumberFormat="1" applyFont="1" applyBorder="1" applyAlignment="1">
      <alignment vertical="center"/>
    </xf>
    <xf numFmtId="39" fontId="3" fillId="0" borderId="58" xfId="0" applyNumberFormat="1" applyFont="1" applyBorder="1" applyAlignment="1">
      <alignment vertical="center"/>
    </xf>
    <xf numFmtId="166" fontId="3" fillId="0" borderId="2" xfId="0" quotePrefix="1" applyNumberFormat="1" applyFont="1" applyBorder="1" applyAlignment="1">
      <alignment horizontal="center" vertical="center"/>
    </xf>
    <xf numFmtId="39" fontId="3" fillId="0" borderId="11" xfId="0" applyNumberFormat="1" applyFont="1" applyBorder="1" applyAlignment="1">
      <alignment horizontal="left" vertical="center"/>
    </xf>
    <xf numFmtId="46" fontId="3" fillId="0" borderId="11" xfId="0" applyNumberFormat="1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39" fontId="4" fillId="0" borderId="34" xfId="0" applyNumberFormat="1" applyFont="1" applyBorder="1" applyAlignment="1">
      <alignment vertical="center"/>
    </xf>
    <xf numFmtId="0" fontId="5" fillId="0" borderId="59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167" fontId="3" fillId="0" borderId="7" xfId="0" applyNumberFormat="1" applyFont="1" applyBorder="1" applyAlignment="1">
      <alignment horizontal="center" vertical="center"/>
    </xf>
    <xf numFmtId="43" fontId="3" fillId="0" borderId="14" xfId="1" applyFont="1" applyBorder="1" applyAlignment="1">
      <alignment vertical="center"/>
    </xf>
    <xf numFmtId="17" fontId="3" fillId="0" borderId="14" xfId="0" applyNumberFormat="1" applyFont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43" fontId="3" fillId="0" borderId="8" xfId="1" applyFont="1" applyBorder="1" applyAlignment="1">
      <alignment vertical="center"/>
    </xf>
    <xf numFmtId="0" fontId="3" fillId="0" borderId="6" xfId="0" applyFont="1" applyBorder="1" applyAlignment="1">
      <alignment horizontal="left" vertical="center"/>
    </xf>
    <xf numFmtId="167" fontId="3" fillId="0" borderId="0" xfId="0" applyNumberFormat="1" applyFont="1" applyAlignment="1">
      <alignment vertical="center"/>
    </xf>
    <xf numFmtId="43" fontId="3" fillId="0" borderId="2" xfId="1" applyFont="1" applyBorder="1" applyAlignment="1">
      <alignment vertical="center"/>
    </xf>
    <xf numFmtId="0" fontId="3" fillId="0" borderId="15" xfId="0" applyFont="1" applyBorder="1" applyAlignment="1">
      <alignment horizontal="right" vertical="center"/>
    </xf>
    <xf numFmtId="39" fontId="3" fillId="0" borderId="8" xfId="1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39" fontId="3" fillId="0" borderId="14" xfId="1" applyNumberFormat="1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167" fontId="3" fillId="0" borderId="0" xfId="1" applyNumberFormat="1" applyFont="1" applyAlignment="1">
      <alignment horizontal="right" vertical="center"/>
    </xf>
    <xf numFmtId="0" fontId="3" fillId="0" borderId="6" xfId="0" quotePrefix="1" applyFont="1" applyBorder="1" applyAlignment="1">
      <alignment horizontal="left" vertical="center"/>
    </xf>
    <xf numFmtId="0" fontId="2" fillId="0" borderId="33" xfId="0" applyFont="1" applyBorder="1" applyAlignment="1">
      <alignment vertical="center"/>
    </xf>
    <xf numFmtId="0" fontId="3" fillId="0" borderId="34" xfId="0" applyFont="1" applyBorder="1" applyAlignment="1">
      <alignment horizontal="right" vertical="center"/>
    </xf>
    <xf numFmtId="0" fontId="3" fillId="0" borderId="58" xfId="0" applyFont="1" applyBorder="1" applyAlignment="1">
      <alignment vertical="center"/>
    </xf>
    <xf numFmtId="10" fontId="3" fillId="0" borderId="0" xfId="0" applyNumberFormat="1" applyFont="1" applyAlignment="1">
      <alignment vertical="center"/>
    </xf>
    <xf numFmtId="167" fontId="3" fillId="0" borderId="10" xfId="0" applyNumberFormat="1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164" fontId="3" fillId="0" borderId="36" xfId="0" applyNumberFormat="1" applyFont="1" applyBorder="1" applyAlignment="1">
      <alignment vertical="center"/>
    </xf>
    <xf numFmtId="0" fontId="3" fillId="0" borderId="36" xfId="0" quotePrefix="1" applyFont="1" applyBorder="1" applyAlignment="1">
      <alignment vertical="center"/>
    </xf>
    <xf numFmtId="0" fontId="2" fillId="5" borderId="12" xfId="0" applyFont="1" applyFill="1" applyBorder="1" applyAlignment="1">
      <alignment vertical="center"/>
    </xf>
    <xf numFmtId="37" fontId="3" fillId="5" borderId="2" xfId="0" applyNumberFormat="1" applyFont="1" applyFill="1" applyBorder="1" applyAlignment="1">
      <alignment horizontal="center" vertical="center"/>
    </xf>
    <xf numFmtId="37" fontId="3" fillId="5" borderId="3" xfId="0" applyNumberFormat="1" applyFont="1" applyFill="1" applyBorder="1" applyAlignment="1">
      <alignment horizontal="right" vertical="center"/>
    </xf>
    <xf numFmtId="0" fontId="2" fillId="5" borderId="14" xfId="0" applyFont="1" applyFill="1" applyBorder="1" applyAlignment="1">
      <alignment vertical="center"/>
    </xf>
    <xf numFmtId="166" fontId="4" fillId="5" borderId="14" xfId="0" applyNumberFormat="1" applyFont="1" applyFill="1" applyBorder="1" applyAlignment="1">
      <alignment horizontal="center" vertical="center"/>
    </xf>
    <xf numFmtId="37" fontId="4" fillId="5" borderId="14" xfId="0" applyNumberFormat="1" applyFont="1" applyFill="1" applyBorder="1" applyAlignment="1">
      <alignment horizontal="left" vertical="center"/>
    </xf>
    <xf numFmtId="169" fontId="3" fillId="5" borderId="14" xfId="0" quotePrefix="1" applyNumberFormat="1" applyFont="1" applyFill="1" applyBorder="1" applyAlignment="1">
      <alignment horizontal="center" vertical="center"/>
    </xf>
    <xf numFmtId="166" fontId="3" fillId="5" borderId="14" xfId="0" applyNumberFormat="1" applyFont="1" applyFill="1" applyBorder="1" applyAlignment="1">
      <alignment horizontal="left" vertical="center"/>
    </xf>
    <xf numFmtId="39" fontId="2" fillId="5" borderId="14" xfId="0" applyNumberFormat="1" applyFont="1" applyFill="1" applyBorder="1" applyAlignment="1">
      <alignment horizontal="left" vertical="center"/>
    </xf>
    <xf numFmtId="39" fontId="2" fillId="5" borderId="1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8" fillId="0" borderId="0" xfId="0" applyFont="1"/>
    <xf numFmtId="0" fontId="0" fillId="0" borderId="6" xfId="0" applyBorder="1"/>
    <xf numFmtId="0" fontId="18" fillId="0" borderId="6" xfId="0" applyFont="1" applyBorder="1"/>
    <xf numFmtId="0" fontId="18" fillId="0" borderId="6" xfId="0" applyFont="1" applyBorder="1" applyAlignment="1">
      <alignment horizontal="left" indent="1"/>
    </xf>
    <xf numFmtId="0" fontId="7" fillId="0" borderId="4" xfId="0" applyFont="1" applyBorder="1" applyAlignment="1">
      <alignment vertical="center" wrapText="1"/>
    </xf>
    <xf numFmtId="0" fontId="3" fillId="0" borderId="5" xfId="0" quotePrefix="1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37" fontId="3" fillId="5" borderId="14" xfId="0" quotePrefix="1" applyNumberFormat="1" applyFont="1" applyFill="1" applyBorder="1" applyAlignment="1">
      <alignment horizontal="center" vertical="center"/>
    </xf>
    <xf numFmtId="0" fontId="2" fillId="0" borderId="34" xfId="0" quotePrefix="1" applyFont="1" applyBorder="1" applyAlignment="1">
      <alignment horizontal="center" vertical="center"/>
    </xf>
    <xf numFmtId="0" fontId="3" fillId="0" borderId="6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4" xfId="0" applyFont="1" applyBorder="1" applyAlignment="1">
      <alignment horizontal="centerContinuous" vertical="center"/>
    </xf>
    <xf numFmtId="0" fontId="3" fillId="0" borderId="34" xfId="0" quotePrefix="1" applyFont="1" applyBorder="1" applyAlignment="1">
      <alignment horizontal="left" vertical="center"/>
    </xf>
    <xf numFmtId="0" fontId="2" fillId="0" borderId="34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37" fontId="3" fillId="5" borderId="15" xfId="0" quotePrefix="1" applyNumberFormat="1" applyFont="1" applyFill="1" applyBorder="1" applyAlignment="1">
      <alignment horizontal="left" vertical="center"/>
    </xf>
    <xf numFmtId="37" fontId="3" fillId="0" borderId="15" xfId="0" applyNumberFormat="1" applyFont="1" applyBorder="1" applyAlignment="1">
      <alignment horizontal="left" vertical="center"/>
    </xf>
    <xf numFmtId="0" fontId="2" fillId="0" borderId="64" xfId="0" applyFont="1" applyBorder="1" applyAlignment="1">
      <alignment horizontal="centerContinuous" vertical="center"/>
    </xf>
    <xf numFmtId="39" fontId="9" fillId="0" borderId="15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3" fillId="5" borderId="15" xfId="0" quotePrefix="1" applyFont="1" applyFill="1" applyBorder="1" applyAlignment="1">
      <alignment horizontal="left" vertical="center"/>
    </xf>
    <xf numFmtId="39" fontId="4" fillId="0" borderId="15" xfId="0" quotePrefix="1" applyNumberFormat="1" applyFont="1" applyBorder="1" applyAlignment="1">
      <alignment horizontal="left" vertical="center"/>
    </xf>
    <xf numFmtId="0" fontId="5" fillId="0" borderId="12" xfId="0" quotePrefix="1" applyFont="1" applyBorder="1" applyAlignment="1">
      <alignment horizontal="left" vertical="center"/>
    </xf>
    <xf numFmtId="39" fontId="3" fillId="0" borderId="37" xfId="0" applyNumberFormat="1" applyFont="1" applyBorder="1" applyAlignment="1">
      <alignment vertical="center"/>
    </xf>
    <xf numFmtId="39" fontId="3" fillId="5" borderId="15" xfId="0" quotePrefix="1" applyNumberFormat="1" applyFont="1" applyFill="1" applyBorder="1" applyAlignment="1">
      <alignment horizontal="left" vertical="center"/>
    </xf>
    <xf numFmtId="39" fontId="3" fillId="0" borderId="3" xfId="0" quotePrefix="1" applyNumberFormat="1" applyFont="1" applyBorder="1" applyAlignment="1">
      <alignment horizontal="left" vertical="center"/>
    </xf>
    <xf numFmtId="39" fontId="3" fillId="0" borderId="3" xfId="0" applyNumberFormat="1" applyFont="1" applyBorder="1" applyAlignment="1">
      <alignment vertical="center"/>
    </xf>
    <xf numFmtId="39" fontId="2" fillId="0" borderId="35" xfId="0" applyNumberFormat="1" applyFont="1" applyBorder="1" applyAlignment="1">
      <alignment vertical="center"/>
    </xf>
    <xf numFmtId="39" fontId="2" fillId="0" borderId="20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Continuous" vertical="center"/>
    </xf>
    <xf numFmtId="0" fontId="3" fillId="0" borderId="16" xfId="0" applyFont="1" applyBorder="1" applyAlignment="1">
      <alignment horizontal="left" vertical="center"/>
    </xf>
    <xf numFmtId="167" fontId="1" fillId="0" borderId="26" xfId="0" applyNumberFormat="1" applyFont="1" applyBorder="1" applyAlignment="1">
      <alignment vertical="center"/>
    </xf>
    <xf numFmtId="167" fontId="1" fillId="0" borderId="51" xfId="0" applyNumberFormat="1" applyFont="1" applyBorder="1" applyAlignment="1">
      <alignment vertical="center"/>
    </xf>
    <xf numFmtId="0" fontId="3" fillId="0" borderId="26" xfId="0" applyFont="1" applyBorder="1" applyAlignment="1">
      <alignment horizontal="left" vertical="center"/>
    </xf>
    <xf numFmtId="165" fontId="18" fillId="0" borderId="8" xfId="0" applyNumberFormat="1" applyFont="1" applyBorder="1" applyAlignment="1">
      <alignment horizontal="left" vertical="center"/>
    </xf>
    <xf numFmtId="39" fontId="21" fillId="0" borderId="8" xfId="0" applyNumberFormat="1" applyFont="1" applyBorder="1" applyAlignment="1">
      <alignment vertical="center"/>
    </xf>
    <xf numFmtId="39" fontId="18" fillId="0" borderId="8" xfId="0" applyNumberFormat="1" applyFont="1" applyBorder="1" applyAlignment="1">
      <alignment vertical="center"/>
    </xf>
    <xf numFmtId="165" fontId="18" fillId="0" borderId="2" xfId="0" applyNumberFormat="1" applyFont="1" applyBorder="1" applyAlignment="1">
      <alignment horizontal="left" vertical="center"/>
    </xf>
    <xf numFmtId="10" fontId="15" fillId="0" borderId="47" xfId="1" applyNumberFormat="1" applyFont="1" applyBorder="1" applyAlignment="1">
      <alignment horizontal="center" vertical="center"/>
    </xf>
    <xf numFmtId="9" fontId="4" fillId="0" borderId="7" xfId="3" applyFont="1" applyBorder="1" applyAlignment="1">
      <alignment vertical="center"/>
    </xf>
    <xf numFmtId="9" fontId="3" fillId="0" borderId="12" xfId="3" applyFont="1" applyBorder="1" applyAlignment="1">
      <alignment vertical="center"/>
    </xf>
    <xf numFmtId="9" fontId="3" fillId="0" borderId="11" xfId="3" applyFont="1" applyBorder="1" applyAlignment="1">
      <alignment vertical="center"/>
    </xf>
    <xf numFmtId="9" fontId="3" fillId="0" borderId="7" xfId="3" applyFont="1" applyBorder="1" applyAlignment="1">
      <alignment vertical="center"/>
    </xf>
    <xf numFmtId="10" fontId="4" fillId="0" borderId="4" xfId="3" applyNumberFormat="1" applyFont="1" applyBorder="1" applyAlignment="1">
      <alignment vertical="center"/>
    </xf>
    <xf numFmtId="10" fontId="3" fillId="0" borderId="11" xfId="3" applyNumberFormat="1" applyFont="1" applyBorder="1" applyAlignment="1">
      <alignment vertical="center"/>
    </xf>
    <xf numFmtId="10" fontId="3" fillId="0" borderId="7" xfId="3" applyNumberFormat="1" applyFont="1" applyBorder="1" applyAlignment="1">
      <alignment vertical="center"/>
    </xf>
    <xf numFmtId="10" fontId="3" fillId="0" borderId="0" xfId="0" applyNumberFormat="1" applyFont="1" applyAlignment="1">
      <alignment horizontal="left" vertical="center"/>
    </xf>
    <xf numFmtId="2" fontId="18" fillId="0" borderId="0" xfId="0" applyNumberFormat="1" applyFont="1" applyAlignment="1">
      <alignment horizontal="center"/>
    </xf>
    <xf numFmtId="0" fontId="1" fillId="0" borderId="0" xfId="0" applyFont="1"/>
    <xf numFmtId="10" fontId="1" fillId="0" borderId="0" xfId="0" applyNumberFormat="1" applyFont="1" applyAlignment="1">
      <alignment horizontal="center" vertical="center" wrapText="1"/>
    </xf>
    <xf numFmtId="10" fontId="3" fillId="0" borderId="6" xfId="3" applyNumberFormat="1" applyFont="1" applyBorder="1" applyAlignment="1">
      <alignment vertical="center"/>
    </xf>
    <xf numFmtId="0" fontId="13" fillId="0" borderId="66" xfId="0" applyFont="1" applyBorder="1"/>
    <xf numFmtId="0" fontId="13" fillId="0" borderId="7" xfId="0" applyFont="1" applyBorder="1"/>
    <xf numFmtId="2" fontId="13" fillId="0" borderId="7" xfId="1" applyNumberFormat="1" applyFont="1" applyBorder="1" applyAlignment="1">
      <alignment horizontal="center"/>
    </xf>
    <xf numFmtId="2" fontId="13" fillId="0" borderId="7" xfId="0" applyNumberFormat="1" applyFont="1" applyBorder="1" applyAlignment="1">
      <alignment horizontal="center"/>
    </xf>
    <xf numFmtId="10" fontId="13" fillId="0" borderId="67" xfId="1" applyNumberFormat="1" applyFont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0" fillId="0" borderId="15" xfId="0" applyBorder="1"/>
    <xf numFmtId="0" fontId="0" fillId="0" borderId="7" xfId="0" applyBorder="1" applyAlignment="1">
      <alignment horizontal="center" vertical="center"/>
    </xf>
    <xf numFmtId="39" fontId="18" fillId="0" borderId="7" xfId="0" applyNumberFormat="1" applyFont="1" applyBorder="1" applyAlignment="1">
      <alignment horizontal="left" vertical="center" wrapText="1"/>
    </xf>
    <xf numFmtId="0" fontId="0" fillId="0" borderId="8" xfId="0" applyBorder="1"/>
    <xf numFmtId="0" fontId="0" fillId="0" borderId="10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4" borderId="7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4" xfId="0" applyBorder="1"/>
    <xf numFmtId="165" fontId="2" fillId="0" borderId="2" xfId="0" quotePrefix="1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0" fillId="0" borderId="74" xfId="0" applyBorder="1"/>
    <xf numFmtId="0" fontId="2" fillId="0" borderId="38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0" fillId="0" borderId="58" xfId="0" applyBorder="1"/>
    <xf numFmtId="0" fontId="0" fillId="4" borderId="9" xfId="0" applyFill="1" applyBorder="1" applyAlignment="1">
      <alignment horizontal="center" vertical="center"/>
    </xf>
    <xf numFmtId="0" fontId="2" fillId="0" borderId="7" xfId="0" applyFont="1" applyBorder="1" applyAlignment="1">
      <alignment horizontal="left" vertical="top"/>
    </xf>
    <xf numFmtId="0" fontId="2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0" fillId="0" borderId="57" xfId="0" applyBorder="1"/>
    <xf numFmtId="0" fontId="0" fillId="0" borderId="9" xfId="0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9" fontId="2" fillId="0" borderId="7" xfId="0" applyNumberFormat="1" applyFont="1" applyBorder="1" applyAlignment="1">
      <alignment horizontal="left" vertical="center"/>
    </xf>
    <xf numFmtId="0" fontId="0" fillId="0" borderId="75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4" fillId="0" borderId="31" xfId="0" applyFont="1" applyBorder="1" applyAlignment="1">
      <alignment horizontal="center"/>
    </xf>
    <xf numFmtId="0" fontId="0" fillId="0" borderId="31" xfId="0" applyBorder="1"/>
    <xf numFmtId="0" fontId="13" fillId="0" borderId="34" xfId="0" applyFont="1" applyBorder="1" applyAlignment="1">
      <alignment horizontal="left" vertical="center" wrapText="1"/>
    </xf>
    <xf numFmtId="0" fontId="0" fillId="0" borderId="34" xfId="0" applyBorder="1"/>
    <xf numFmtId="0" fontId="8" fillId="0" borderId="69" xfId="0" applyFont="1" applyBorder="1" applyAlignment="1">
      <alignment horizontal="center" vertical="center"/>
    </xf>
    <xf numFmtId="0" fontId="0" fillId="0" borderId="41" xfId="0" applyBorder="1"/>
    <xf numFmtId="0" fontId="0" fillId="0" borderId="43" xfId="0" applyBorder="1"/>
    <xf numFmtId="0" fontId="0" fillId="0" borderId="40" xfId="0" applyBorder="1"/>
    <xf numFmtId="0" fontId="8" fillId="0" borderId="70" xfId="0" applyFont="1" applyBorder="1" applyAlignment="1">
      <alignment horizontal="center" vertical="center"/>
    </xf>
    <xf numFmtId="0" fontId="0" fillId="0" borderId="42" xfId="0" applyBorder="1"/>
    <xf numFmtId="0" fontId="1" fillId="0" borderId="0" xfId="0" applyFont="1" applyAlignment="1">
      <alignment horizontal="center"/>
    </xf>
    <xf numFmtId="0" fontId="8" fillId="0" borderId="68" xfId="0" applyFont="1" applyBorder="1" applyAlignment="1">
      <alignment horizontal="center" vertical="center" wrapText="1"/>
    </xf>
    <xf numFmtId="0" fontId="0" fillId="0" borderId="39" xfId="0" applyBorder="1"/>
    <xf numFmtId="0" fontId="8" fillId="0" borderId="68" xfId="0" applyFont="1" applyBorder="1" applyAlignment="1">
      <alignment horizontal="center" vertical="justify"/>
    </xf>
    <xf numFmtId="0" fontId="8" fillId="0" borderId="6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51" xfId="0" applyFont="1" applyBorder="1" applyAlignment="1">
      <alignment horizontal="center" vertical="center"/>
    </xf>
    <xf numFmtId="0" fontId="0" fillId="0" borderId="26" xfId="0" applyBorder="1"/>
    <xf numFmtId="0" fontId="0" fillId="0" borderId="51" xfId="0" applyBorder="1"/>
    <xf numFmtId="0" fontId="1" fillId="0" borderId="56" xfId="0" applyFont="1" applyBorder="1" applyAlignment="1">
      <alignment horizontal="left" vertical="top" wrapText="1"/>
    </xf>
    <xf numFmtId="0" fontId="0" fillId="0" borderId="24" xfId="0" applyBorder="1"/>
    <xf numFmtId="0" fontId="0" fillId="0" borderId="53" xfId="0" applyBorder="1"/>
    <xf numFmtId="0" fontId="3" fillId="0" borderId="26" xfId="0" applyFont="1" applyBorder="1" applyAlignment="1">
      <alignment vertical="center" wrapText="1"/>
    </xf>
    <xf numFmtId="0" fontId="0" fillId="0" borderId="17" xfId="0" applyBorder="1"/>
    <xf numFmtId="0" fontId="3" fillId="0" borderId="2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6" fillId="0" borderId="49" xfId="0" applyFont="1" applyBorder="1" applyAlignment="1">
      <alignment horizontal="left" vertical="center"/>
    </xf>
    <xf numFmtId="0" fontId="0" fillId="0" borderId="25" xfId="0" applyBorder="1"/>
    <xf numFmtId="0" fontId="0" fillId="0" borderId="49" xfId="0" applyBorder="1"/>
    <xf numFmtId="167" fontId="1" fillId="0" borderId="2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3" fillId="0" borderId="56" xfId="0" applyFont="1" applyBorder="1" applyAlignment="1">
      <alignment horizontal="center" vertical="center"/>
    </xf>
    <xf numFmtId="0" fontId="0" fillId="0" borderId="27" xfId="0" applyBorder="1"/>
    <xf numFmtId="0" fontId="0" fillId="0" borderId="56" xfId="0" applyBorder="1"/>
    <xf numFmtId="0" fontId="3" fillId="0" borderId="2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16" fillId="0" borderId="51" xfId="0" applyFont="1" applyBorder="1" applyAlignment="1">
      <alignment horizontal="left" vertical="center"/>
    </xf>
    <xf numFmtId="0" fontId="3" fillId="0" borderId="55" xfId="0" applyFont="1" applyBorder="1" applyAlignment="1">
      <alignment horizontal="center" vertical="center"/>
    </xf>
    <xf numFmtId="0" fontId="20" fillId="0" borderId="27" xfId="0" applyFont="1" applyBorder="1" applyAlignment="1">
      <alignment horizontal="left" vertical="center"/>
    </xf>
    <xf numFmtId="0" fontId="1" fillId="0" borderId="65" xfId="0" applyFont="1" applyBorder="1" applyAlignment="1">
      <alignment horizontal="center" vertical="center" wrapText="1"/>
    </xf>
    <xf numFmtId="0" fontId="0" fillId="0" borderId="4" xfId="0" applyBorder="1"/>
    <xf numFmtId="0" fontId="0" fillId="0" borderId="65" xfId="0" applyBorder="1"/>
    <xf numFmtId="0" fontId="3" fillId="0" borderId="51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1" fillId="0" borderId="51" xfId="0" applyFont="1" applyBorder="1" applyAlignment="1">
      <alignment horizontal="left" vertical="center"/>
    </xf>
    <xf numFmtId="0" fontId="3" fillId="0" borderId="5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4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center" vertical="center"/>
    </xf>
    <xf numFmtId="0" fontId="0" fillId="0" borderId="54" xfId="0" applyBorder="1"/>
    <xf numFmtId="39" fontId="2" fillId="5" borderId="7" xfId="0" applyNumberFormat="1" applyFont="1" applyFill="1" applyBorder="1" applyAlignment="1">
      <alignment horizontal="center" vertical="center"/>
    </xf>
    <xf numFmtId="39" fontId="10" fillId="0" borderId="7" xfId="0" applyNumberFormat="1" applyFont="1" applyBorder="1" applyAlignment="1">
      <alignment horizontal="center" vertical="center" textRotation="180" wrapText="1"/>
    </xf>
    <xf numFmtId="0" fontId="0" fillId="0" borderId="11" xfId="0" applyBorder="1"/>
    <xf numFmtId="0" fontId="0" fillId="0" borderId="9" xfId="0" applyBorder="1"/>
    <xf numFmtId="39" fontId="18" fillId="0" borderId="15" xfId="0" applyNumberFormat="1" applyFont="1" applyBorder="1" applyAlignment="1">
      <alignment horizontal="left" vertical="center" wrapText="1"/>
    </xf>
    <xf numFmtId="39" fontId="10" fillId="0" borderId="7" xfId="0" applyNumberFormat="1" applyFont="1" applyBorder="1" applyAlignment="1">
      <alignment horizontal="center" vertical="center" wrapText="1"/>
    </xf>
    <xf numFmtId="0" fontId="0" fillId="0" borderId="6" xfId="0" applyBorder="1"/>
    <xf numFmtId="39" fontId="2" fillId="0" borderId="7" xfId="0" applyNumberFormat="1" applyFont="1" applyBorder="1" applyAlignment="1">
      <alignment horizontal="center" vertical="center"/>
    </xf>
    <xf numFmtId="39" fontId="2" fillId="0" borderId="12" xfId="0" applyNumberFormat="1" applyFont="1" applyBorder="1" applyAlignment="1">
      <alignment horizontal="left" vertical="center"/>
    </xf>
    <xf numFmtId="39" fontId="2" fillId="0" borderId="2" xfId="0" applyNumberFormat="1" applyFont="1" applyBorder="1" applyAlignment="1">
      <alignment horizontal="center" vertical="center"/>
    </xf>
    <xf numFmtId="39" fontId="2" fillId="0" borderId="7" xfId="0" quotePrefix="1" applyNumberFormat="1" applyFont="1" applyBorder="1" applyAlignment="1">
      <alignment horizontal="center" vertical="center"/>
    </xf>
    <xf numFmtId="39" fontId="10" fillId="0" borderId="7" xfId="0" applyNumberFormat="1" applyFont="1" applyBorder="1" applyAlignment="1">
      <alignment horizontal="center" vertical="center"/>
    </xf>
    <xf numFmtId="39" fontId="2" fillId="0" borderId="0" xfId="0" applyNumberFormat="1" applyFont="1" applyAlignment="1">
      <alignment horizontal="center" vertical="center"/>
    </xf>
    <xf numFmtId="39" fontId="3" fillId="0" borderId="0" xfId="0" applyNumberFormat="1" applyFont="1" applyAlignment="1">
      <alignment vertical="center"/>
    </xf>
    <xf numFmtId="39" fontId="2" fillId="5" borderId="12" xfId="0" applyNumberFormat="1" applyFont="1" applyFill="1" applyBorder="1" applyAlignment="1">
      <alignment horizontal="center" vertical="center"/>
    </xf>
    <xf numFmtId="39" fontId="3" fillId="0" borderId="31" xfId="0" applyNumberFormat="1" applyFont="1" applyBorder="1" applyAlignment="1">
      <alignment horizontal="center" vertical="center"/>
    </xf>
    <xf numFmtId="39" fontId="2" fillId="0" borderId="16" xfId="0" applyNumberFormat="1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top"/>
    </xf>
    <xf numFmtId="0" fontId="5" fillId="0" borderId="7" xfId="0" quotePrefix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textRotation="180" wrapText="1"/>
    </xf>
    <xf numFmtId="0" fontId="11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39" fontId="3" fillId="0" borderId="4" xfId="0" quotePrefix="1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39" fontId="18" fillId="0" borderId="10" xfId="0" quotePrefix="1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textRotation="90"/>
    </xf>
    <xf numFmtId="39" fontId="18" fillId="0" borderId="10" xfId="0" applyNumberFormat="1" applyFont="1" applyBorder="1" applyAlignment="1">
      <alignment horizontal="left" vertical="center"/>
    </xf>
    <xf numFmtId="165" fontId="3" fillId="0" borderId="3" xfId="0" quotePrefix="1" applyNumberFormat="1" applyFont="1" applyBorder="1" applyAlignment="1">
      <alignment horizontal="left" vertical="center"/>
    </xf>
    <xf numFmtId="0" fontId="10" fillId="5" borderId="7" xfId="0" applyFont="1" applyFill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71" xfId="0" applyFont="1" applyBorder="1" applyAlignment="1">
      <alignment horizontal="center" vertical="center"/>
    </xf>
    <xf numFmtId="0" fontId="0" fillId="0" borderId="61" xfId="0" applyBorder="1"/>
    <xf numFmtId="39" fontId="18" fillId="0" borderId="15" xfId="0" applyNumberFormat="1" applyFont="1" applyBorder="1" applyAlignment="1">
      <alignment vertical="center" wrapText="1"/>
    </xf>
    <xf numFmtId="0" fontId="2" fillId="0" borderId="15" xfId="0" applyFont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165" fontId="2" fillId="0" borderId="0" xfId="0" quotePrefix="1" applyNumberFormat="1" applyFont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2" fillId="0" borderId="13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textRotation="180" wrapText="1"/>
    </xf>
    <xf numFmtId="0" fontId="2" fillId="0" borderId="16" xfId="0" applyFont="1" applyBorder="1" applyAlignment="1">
      <alignment horizontal="center" vertical="center" wrapText="1"/>
    </xf>
    <xf numFmtId="39" fontId="2" fillId="5" borderId="7" xfId="0" applyNumberFormat="1" applyFont="1" applyFill="1" applyBorder="1" applyAlignment="1">
      <alignment horizontal="left" vertical="center"/>
    </xf>
    <xf numFmtId="0" fontId="18" fillId="0" borderId="6" xfId="0" applyFont="1" applyBorder="1" applyAlignment="1">
      <alignment horizontal="center"/>
    </xf>
    <xf numFmtId="0" fontId="18" fillId="4" borderId="7" xfId="0" applyFont="1" applyFill="1" applyBorder="1" applyAlignment="1">
      <alignment horizontal="left" vertical="center" wrapText="1"/>
    </xf>
    <xf numFmtId="0" fontId="2" fillId="0" borderId="57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 wrapText="1"/>
    </xf>
    <xf numFmtId="0" fontId="22" fillId="4" borderId="7" xfId="0" applyFont="1" applyFill="1" applyBorder="1" applyAlignment="1">
      <alignment horizontal="left" vertical="center" wrapText="1"/>
    </xf>
    <xf numFmtId="0" fontId="18" fillId="4" borderId="0" xfId="0" applyFont="1" applyFill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43" fontId="1" fillId="0" borderId="62" xfId="1" applyFont="1" applyBorder="1" applyAlignment="1">
      <alignment horizontal="center" vertical="center"/>
    </xf>
    <xf numFmtId="0" fontId="0" fillId="0" borderId="73" xfId="0" applyBorder="1"/>
    <xf numFmtId="0" fontId="0" fillId="0" borderId="76" xfId="0" applyBorder="1"/>
    <xf numFmtId="43" fontId="1" fillId="0" borderId="11" xfId="1" applyFont="1" applyBorder="1" applyAlignment="1">
      <alignment horizontal="center" vertical="center"/>
    </xf>
    <xf numFmtId="43" fontId="1" fillId="0" borderId="9" xfId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62" xfId="0" applyBorder="1" applyAlignment="1">
      <alignment horizontal="center" vertical="center"/>
    </xf>
    <xf numFmtId="0" fontId="3" fillId="0" borderId="58" xfId="0" quotePrefix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/>
    <xf numFmtId="0" fontId="19" fillId="0" borderId="7" xfId="0" applyFont="1" applyBorder="1" applyAlignment="1">
      <alignment horizontal="center" vertical="center"/>
    </xf>
    <xf numFmtId="39" fontId="18" fillId="0" borderId="10" xfId="0" applyNumberFormat="1" applyFont="1" applyBorder="1" applyAlignment="1">
      <alignment horizontal="left"/>
    </xf>
  </cellXfs>
  <cellStyles count="4">
    <cellStyle name="Normal" xfId="0" builtinId="0"/>
    <cellStyle name="Porcentagem" xfId="3" builtinId="5"/>
    <cellStyle name="titulos" xfId="2" xr:uid="{00000000-0005-0000-0000-000002000000}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showGridLines="0" showZeros="0" tabSelected="1" topLeftCell="A3" workbookViewId="0">
      <selection activeCell="J7" sqref="J7"/>
    </sheetView>
  </sheetViews>
  <sheetFormatPr defaultColWidth="8.88671875" defaultRowHeight="13.2" x14ac:dyDescent="0.25"/>
  <cols>
    <col min="1" max="1" width="9.44140625" style="147" customWidth="1"/>
    <col min="2" max="2" width="18.44140625" style="147" customWidth="1"/>
    <col min="3" max="3" width="16.6640625" style="147" customWidth="1"/>
    <col min="4" max="4" width="23.6640625" style="147" customWidth="1"/>
    <col min="5" max="5" width="23.5546875" style="147" customWidth="1"/>
    <col min="6" max="6" width="15.6640625" style="147" customWidth="1"/>
    <col min="7" max="8" width="12.5546875" style="147" customWidth="1"/>
    <col min="9" max="9" width="12.88671875" style="147" customWidth="1"/>
    <col min="10" max="11" width="8.88671875" style="147" customWidth="1"/>
    <col min="12" max="16384" width="8.88671875" style="147"/>
  </cols>
  <sheetData>
    <row r="1" spans="1:9" ht="40.200000000000003" customHeight="1" thickTop="1" x14ac:dyDescent="0.35">
      <c r="A1" s="168"/>
      <c r="B1" s="366" t="s">
        <v>36</v>
      </c>
      <c r="C1" s="367"/>
      <c r="D1" s="367"/>
      <c r="E1" s="367"/>
      <c r="F1" s="367"/>
      <c r="G1" s="367"/>
      <c r="H1" s="367"/>
      <c r="I1" s="169"/>
    </row>
    <row r="2" spans="1:9" ht="20.100000000000001" customHeight="1" x14ac:dyDescent="0.25">
      <c r="A2" s="170"/>
      <c r="B2" s="178"/>
      <c r="C2" s="178"/>
      <c r="D2" s="178"/>
      <c r="E2" s="178"/>
      <c r="F2" s="178"/>
      <c r="I2" s="171"/>
    </row>
    <row r="3" spans="1:9" ht="47.25" customHeight="1" x14ac:dyDescent="0.25">
      <c r="A3" s="170"/>
      <c r="B3" s="178" t="s">
        <v>37</v>
      </c>
      <c r="C3" s="368" t="s">
        <v>38</v>
      </c>
      <c r="D3" s="365"/>
      <c r="E3" s="365"/>
      <c r="F3" s="365"/>
      <c r="G3" s="365"/>
      <c r="H3" s="365"/>
      <c r="I3" s="369"/>
    </row>
    <row r="4" spans="1:9" ht="20.100000000000001" customHeight="1" x14ac:dyDescent="0.25">
      <c r="A4" s="170"/>
      <c r="B4" s="178" t="s">
        <v>39</v>
      </c>
      <c r="C4" s="178"/>
      <c r="D4" s="179">
        <f>G10</f>
        <v>0</v>
      </c>
      <c r="E4" s="180" t="s">
        <v>40</v>
      </c>
      <c r="F4" s="178"/>
      <c r="I4" s="171"/>
    </row>
    <row r="5" spans="1:9" ht="20.100000000000001" customHeight="1" x14ac:dyDescent="0.25">
      <c r="A5" s="170"/>
      <c r="B5" s="178" t="s">
        <v>41</v>
      </c>
      <c r="C5" s="178"/>
      <c r="D5" s="179">
        <f>D10</f>
        <v>0</v>
      </c>
      <c r="E5" s="180" t="s">
        <v>40</v>
      </c>
      <c r="F5" s="178"/>
      <c r="I5" s="171"/>
    </row>
    <row r="6" spans="1:9" ht="20.100000000000001" customHeight="1" thickBot="1" x14ac:dyDescent="0.3">
      <c r="A6" s="170"/>
      <c r="B6" s="178"/>
      <c r="C6" s="178"/>
      <c r="D6" s="178"/>
      <c r="E6" s="178"/>
      <c r="F6" s="178"/>
      <c r="I6" s="171"/>
    </row>
    <row r="7" spans="1:9" ht="24" customHeight="1" thickTop="1" thickBot="1" x14ac:dyDescent="0.3">
      <c r="A7" s="170"/>
      <c r="B7" s="370" t="s">
        <v>42</v>
      </c>
      <c r="C7" s="371"/>
      <c r="D7" s="377" t="s">
        <v>43</v>
      </c>
      <c r="E7" s="379" t="s">
        <v>44</v>
      </c>
      <c r="F7" s="380" t="s">
        <v>45</v>
      </c>
      <c r="G7" s="374" t="s">
        <v>46</v>
      </c>
      <c r="H7" s="375"/>
      <c r="I7" s="171"/>
    </row>
    <row r="8" spans="1:9" ht="30" customHeight="1" thickBot="1" x14ac:dyDescent="0.3">
      <c r="A8" s="170"/>
      <c r="B8" s="372"/>
      <c r="C8" s="373"/>
      <c r="D8" s="378"/>
      <c r="E8" s="378"/>
      <c r="F8" s="378"/>
      <c r="G8" s="177" t="s">
        <v>45</v>
      </c>
      <c r="H8" s="181" t="s">
        <v>47</v>
      </c>
      <c r="I8" s="171"/>
    </row>
    <row r="9" spans="1:9" ht="18" customHeight="1" thickBot="1" x14ac:dyDescent="0.3">
      <c r="A9" s="170"/>
      <c r="B9" s="328" t="s">
        <v>48</v>
      </c>
      <c r="C9" s="329" t="s">
        <v>49</v>
      </c>
      <c r="D9" s="330" t="s">
        <v>50</v>
      </c>
      <c r="E9" s="331" t="s">
        <v>51</v>
      </c>
      <c r="F9" s="330">
        <f>SUM(E9,D9)</f>
        <v>0</v>
      </c>
      <c r="G9" s="330">
        <f>F9</f>
        <v>0</v>
      </c>
      <c r="H9" s="332" t="e">
        <f>SUM(G9/G10)</f>
        <v>#DIV/0!</v>
      </c>
      <c r="I9" s="171"/>
    </row>
    <row r="10" spans="1:9" ht="24.75" customHeight="1" thickBot="1" x14ac:dyDescent="0.3">
      <c r="A10" s="170"/>
      <c r="B10" s="182" t="s">
        <v>52</v>
      </c>
      <c r="C10" s="183"/>
      <c r="D10" s="184">
        <f>SUM(D9:D9)</f>
        <v>0</v>
      </c>
      <c r="E10" s="185">
        <f>SUM(E9:E9)</f>
        <v>0</v>
      </c>
      <c r="F10" s="184">
        <f>SUM(F9:F9)</f>
        <v>0</v>
      </c>
      <c r="G10" s="185">
        <f>SUM(G9:G9)</f>
        <v>0</v>
      </c>
      <c r="H10" s="315" t="e">
        <f>SUM(H9:H9)</f>
        <v>#DIV/0!</v>
      </c>
      <c r="I10" s="171"/>
    </row>
    <row r="11" spans="1:9" ht="38.25" customHeight="1" thickTop="1" x14ac:dyDescent="0.25">
      <c r="A11" s="170"/>
      <c r="B11" s="376" t="s">
        <v>53</v>
      </c>
      <c r="C11" s="365"/>
      <c r="D11" s="365"/>
      <c r="E11" s="365"/>
      <c r="F11" s="365"/>
      <c r="G11" s="365"/>
      <c r="H11" s="365"/>
      <c r="I11" s="171"/>
    </row>
    <row r="12" spans="1:9" ht="19.95" customHeight="1" x14ac:dyDescent="0.25">
      <c r="A12" s="170"/>
      <c r="I12" s="171"/>
    </row>
    <row r="13" spans="1:9" ht="19.95" customHeight="1" x14ac:dyDescent="0.25">
      <c r="A13" s="170"/>
      <c r="B13" s="376" t="s">
        <v>54</v>
      </c>
      <c r="C13" s="365"/>
      <c r="D13" s="365"/>
      <c r="E13" s="365"/>
      <c r="F13" s="365"/>
      <c r="G13" s="365"/>
      <c r="H13" s="365"/>
      <c r="I13" s="171"/>
    </row>
    <row r="14" spans="1:9" ht="19.95" customHeight="1" x14ac:dyDescent="0.25">
      <c r="A14" s="170"/>
      <c r="B14" s="364" t="s">
        <v>55</v>
      </c>
      <c r="C14" s="365"/>
      <c r="D14" s="365"/>
      <c r="E14" s="365"/>
      <c r="F14" s="365"/>
      <c r="G14" s="365"/>
      <c r="H14" s="365"/>
      <c r="I14" s="171"/>
    </row>
    <row r="15" spans="1:9" ht="19.95" customHeight="1" x14ac:dyDescent="0.25">
      <c r="A15" s="170"/>
      <c r="B15" s="364" t="s">
        <v>56</v>
      </c>
      <c r="C15" s="365"/>
      <c r="D15" s="365"/>
      <c r="E15" s="365"/>
      <c r="F15" s="365"/>
      <c r="G15" s="365"/>
      <c r="H15" s="365"/>
      <c r="I15" s="171"/>
    </row>
    <row r="16" spans="1:9" ht="61.5" customHeight="1" thickBot="1" x14ac:dyDescent="0.3">
      <c r="A16" s="172"/>
      <c r="B16" s="173"/>
      <c r="C16" s="173"/>
      <c r="D16" s="174"/>
      <c r="E16" s="173"/>
      <c r="F16" s="173"/>
      <c r="G16" s="173"/>
      <c r="H16" s="175"/>
      <c r="I16" s="176"/>
    </row>
    <row r="17" ht="19.95" customHeight="1" thickTop="1" x14ac:dyDescent="0.25"/>
    <row r="18" ht="19.95" customHeight="1" x14ac:dyDescent="0.25"/>
  </sheetData>
  <mergeCells count="11">
    <mergeCell ref="B15:H15"/>
    <mergeCell ref="F7:F8"/>
    <mergeCell ref="B11:H11"/>
    <mergeCell ref="B14:H14"/>
    <mergeCell ref="B1:H1"/>
    <mergeCell ref="C3:I3"/>
    <mergeCell ref="B7:C8"/>
    <mergeCell ref="G7:H7"/>
    <mergeCell ref="B13:H13"/>
    <mergeCell ref="D7:D8"/>
    <mergeCell ref="E7:E8"/>
  </mergeCells>
  <pageMargins left="1.181102362204725" right="0.59055118110236227" top="0.59055118110236227" bottom="0.59055118110236227" header="0" footer="0"/>
  <pageSetup paperSize="9" scale="5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4"/>
  <sheetViews>
    <sheetView showZeros="0" workbookViewId="0">
      <selection activeCell="G11" sqref="G11:L11"/>
    </sheetView>
  </sheetViews>
  <sheetFormatPr defaultColWidth="9.109375" defaultRowHeight="10.199999999999999" x14ac:dyDescent="0.25"/>
  <cols>
    <col min="1" max="1" width="2.33203125" style="1" customWidth="1"/>
    <col min="2" max="4" width="3.6640625" style="1" customWidth="1"/>
    <col min="5" max="6" width="14.6640625" style="1" customWidth="1"/>
    <col min="7" max="8" width="6" style="1" customWidth="1"/>
    <col min="9" max="11" width="7.6640625" style="1" customWidth="1"/>
    <col min="12" max="12" width="13.33203125" style="1" customWidth="1"/>
    <col min="13" max="13" width="0.6640625" style="1" customWidth="1"/>
    <col min="14" max="14" width="8.5546875" style="1" customWidth="1"/>
    <col min="15" max="15" width="9.109375" style="1" customWidth="1"/>
    <col min="16" max="16384" width="9.109375" style="1"/>
  </cols>
  <sheetData>
    <row r="1" spans="1:13" ht="10.5" customHeight="1" thickTop="1" x14ac:dyDescent="0.25">
      <c r="A1" s="198"/>
      <c r="B1" s="355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199"/>
    </row>
    <row r="2" spans="1:13" ht="15" customHeight="1" x14ac:dyDescent="0.25">
      <c r="A2" s="200"/>
      <c r="B2" s="412" t="s">
        <v>57</v>
      </c>
      <c r="C2" s="337"/>
      <c r="D2" s="337"/>
      <c r="E2" s="337"/>
      <c r="F2" s="337"/>
      <c r="G2" s="337"/>
      <c r="H2" s="337"/>
      <c r="I2" s="337"/>
      <c r="J2" s="338"/>
      <c r="K2" s="152" t="s">
        <v>58</v>
      </c>
      <c r="L2" s="189">
        <v>1</v>
      </c>
      <c r="M2" s="201"/>
    </row>
    <row r="3" spans="1:13" ht="15" customHeight="1" x14ac:dyDescent="0.25">
      <c r="A3" s="200"/>
      <c r="B3" s="339"/>
      <c r="C3" s="340"/>
      <c r="D3" s="340"/>
      <c r="E3" s="340"/>
      <c r="F3" s="340"/>
      <c r="G3" s="340"/>
      <c r="H3" s="340"/>
      <c r="I3" s="340"/>
      <c r="J3" s="341"/>
      <c r="K3" s="359"/>
      <c r="L3" s="334"/>
      <c r="M3" s="202"/>
    </row>
    <row r="4" spans="1:13" ht="15" customHeight="1" x14ac:dyDescent="0.25">
      <c r="A4" s="200"/>
      <c r="B4" s="31" t="s">
        <v>59</v>
      </c>
      <c r="C4" s="399" t="s">
        <v>7</v>
      </c>
      <c r="D4" s="344"/>
      <c r="E4" s="344"/>
      <c r="F4" s="344"/>
      <c r="G4" s="344"/>
      <c r="H4" s="344"/>
      <c r="I4" s="344"/>
      <c r="J4" s="344"/>
      <c r="K4" s="344"/>
      <c r="L4" s="334"/>
      <c r="M4" s="202"/>
    </row>
    <row r="5" spans="1:13" ht="15" customHeight="1" x14ac:dyDescent="0.25">
      <c r="A5" s="200"/>
      <c r="B5" s="190"/>
      <c r="C5" s="140" t="s">
        <v>60</v>
      </c>
      <c r="D5" s="403" t="s">
        <v>9</v>
      </c>
      <c r="E5" s="394"/>
      <c r="F5" s="419" t="s">
        <v>61</v>
      </c>
      <c r="G5" s="394"/>
      <c r="H5" s="394"/>
      <c r="I5" s="394"/>
      <c r="J5" s="394"/>
      <c r="K5" s="394"/>
      <c r="L5" s="395"/>
      <c r="M5" s="202"/>
    </row>
    <row r="6" spans="1:13" ht="15" customHeight="1" x14ac:dyDescent="0.25">
      <c r="A6" s="200"/>
      <c r="B6" s="191"/>
      <c r="C6" s="141" t="s">
        <v>62</v>
      </c>
      <c r="D6" s="390" t="s">
        <v>63</v>
      </c>
      <c r="E6" s="383"/>
      <c r="F6" s="413" t="s">
        <v>64</v>
      </c>
      <c r="G6" s="383"/>
      <c r="H6" s="383"/>
      <c r="I6" s="383"/>
      <c r="J6" s="383"/>
      <c r="K6" s="383"/>
      <c r="L6" s="384"/>
      <c r="M6" s="202"/>
    </row>
    <row r="7" spans="1:13" ht="15" customHeight="1" x14ac:dyDescent="0.25">
      <c r="A7" s="200"/>
      <c r="B7" s="192"/>
      <c r="C7" s="143" t="s">
        <v>65</v>
      </c>
      <c r="D7" s="417" t="s">
        <v>66</v>
      </c>
      <c r="E7" s="386"/>
      <c r="F7" s="385"/>
      <c r="G7" s="386"/>
      <c r="H7" s="386"/>
      <c r="I7" s="386"/>
      <c r="J7" s="386"/>
      <c r="K7" s="386"/>
      <c r="L7" s="387"/>
      <c r="M7" s="202"/>
    </row>
    <row r="8" spans="1:13" ht="15" customHeight="1" x14ac:dyDescent="0.25">
      <c r="A8" s="200"/>
      <c r="B8" s="21"/>
      <c r="C8" s="2"/>
      <c r="D8" s="2"/>
      <c r="E8" s="2"/>
      <c r="F8" s="340"/>
      <c r="G8" s="340"/>
      <c r="H8" s="340"/>
      <c r="I8" s="340"/>
      <c r="J8" s="340"/>
      <c r="K8" s="340"/>
      <c r="L8" s="341"/>
      <c r="M8" s="202"/>
    </row>
    <row r="9" spans="1:13" ht="15" customHeight="1" x14ac:dyDescent="0.25">
      <c r="A9" s="200"/>
      <c r="B9" s="31" t="s">
        <v>67</v>
      </c>
      <c r="C9" s="399" t="s">
        <v>68</v>
      </c>
      <c r="D9" s="344"/>
      <c r="E9" s="344"/>
      <c r="F9" s="344"/>
      <c r="G9" s="344"/>
      <c r="H9" s="344"/>
      <c r="I9" s="344"/>
      <c r="J9" s="344"/>
      <c r="K9" s="344"/>
      <c r="L9" s="334"/>
      <c r="M9" s="202"/>
    </row>
    <row r="10" spans="1:13" ht="15" customHeight="1" x14ac:dyDescent="0.25">
      <c r="A10" s="200"/>
      <c r="B10" s="190"/>
      <c r="C10" s="140" t="s">
        <v>69</v>
      </c>
      <c r="D10" s="403" t="s">
        <v>70</v>
      </c>
      <c r="E10" s="394"/>
      <c r="F10" s="394"/>
      <c r="G10" s="393" t="str">
        <f>CAPA!B14</f>
        <v>{RESPONSÁVEL TÉCNICO}</v>
      </c>
      <c r="H10" s="394"/>
      <c r="I10" s="394"/>
      <c r="J10" s="394"/>
      <c r="K10" s="394"/>
      <c r="L10" s="395"/>
      <c r="M10" s="202"/>
    </row>
    <row r="11" spans="1:13" ht="15" customHeight="1" x14ac:dyDescent="0.25">
      <c r="A11" s="200"/>
      <c r="B11" s="191"/>
      <c r="C11" s="141" t="s">
        <v>71</v>
      </c>
      <c r="D11" s="390" t="s">
        <v>72</v>
      </c>
      <c r="E11" s="383"/>
      <c r="F11" s="383"/>
      <c r="G11" s="405" t="str">
        <f>CAPA!B15</f>
        <v>{CREA}</v>
      </c>
      <c r="H11" s="383"/>
      <c r="I11" s="383"/>
      <c r="J11" s="383"/>
      <c r="K11" s="383"/>
      <c r="L11" s="384"/>
      <c r="M11" s="202"/>
    </row>
    <row r="12" spans="1:13" ht="15" customHeight="1" x14ac:dyDescent="0.25">
      <c r="A12" s="200"/>
      <c r="B12" s="191"/>
      <c r="C12" s="141" t="s">
        <v>73</v>
      </c>
      <c r="D12" s="390" t="s">
        <v>74</v>
      </c>
      <c r="E12" s="383"/>
      <c r="F12" s="383"/>
      <c r="G12" s="405"/>
      <c r="H12" s="383"/>
      <c r="I12" s="383"/>
      <c r="J12" s="383"/>
      <c r="K12" s="383"/>
      <c r="L12" s="384"/>
      <c r="M12" s="202"/>
    </row>
    <row r="13" spans="1:13" ht="15" customHeight="1" x14ac:dyDescent="0.25">
      <c r="A13" s="200"/>
      <c r="B13" s="406"/>
      <c r="C13" s="416" t="s">
        <v>75</v>
      </c>
      <c r="D13" s="416" t="s">
        <v>66</v>
      </c>
      <c r="E13" s="386"/>
      <c r="F13" s="386"/>
      <c r="G13" s="187"/>
      <c r="H13" s="187"/>
      <c r="I13" s="187"/>
      <c r="J13" s="187"/>
      <c r="K13" s="187"/>
      <c r="L13" s="193"/>
      <c r="M13" s="202"/>
    </row>
    <row r="14" spans="1:13" ht="15" customHeight="1" x14ac:dyDescent="0.25">
      <c r="A14" s="200"/>
      <c r="B14" s="339"/>
      <c r="C14" s="340"/>
      <c r="D14" s="340"/>
      <c r="E14" s="340"/>
      <c r="F14" s="340"/>
      <c r="G14" s="188"/>
      <c r="H14" s="188"/>
      <c r="I14" s="188"/>
      <c r="J14" s="188"/>
      <c r="K14" s="188"/>
      <c r="L14" s="194"/>
      <c r="M14" s="202"/>
    </row>
    <row r="15" spans="1:13" ht="15" customHeight="1" x14ac:dyDescent="0.25">
      <c r="A15" s="200"/>
      <c r="B15" s="31" t="s">
        <v>76</v>
      </c>
      <c r="C15" s="399" t="s">
        <v>77</v>
      </c>
      <c r="D15" s="344"/>
      <c r="E15" s="344"/>
      <c r="F15" s="344"/>
      <c r="G15" s="344"/>
      <c r="H15" s="344"/>
      <c r="I15" s="344"/>
      <c r="J15" s="344"/>
      <c r="K15" s="344"/>
      <c r="L15" s="334"/>
      <c r="M15" s="202"/>
    </row>
    <row r="16" spans="1:13" ht="15" customHeight="1" x14ac:dyDescent="0.25">
      <c r="A16" s="200"/>
      <c r="B16" s="190"/>
      <c r="C16" s="140" t="s">
        <v>78</v>
      </c>
      <c r="D16" s="403" t="s">
        <v>79</v>
      </c>
      <c r="E16" s="394"/>
      <c r="F16" s="394"/>
      <c r="G16" s="418" t="s">
        <v>80</v>
      </c>
      <c r="H16" s="337"/>
      <c r="I16" s="337"/>
      <c r="J16" s="337"/>
      <c r="K16" s="337"/>
      <c r="L16" s="338"/>
      <c r="M16" s="202"/>
    </row>
    <row r="17" spans="1:13" ht="15" customHeight="1" x14ac:dyDescent="0.25">
      <c r="A17" s="200"/>
      <c r="B17" s="191"/>
      <c r="C17" s="141" t="s">
        <v>81</v>
      </c>
      <c r="D17" s="390" t="s">
        <v>82</v>
      </c>
      <c r="E17" s="383"/>
      <c r="F17" s="383"/>
      <c r="G17" s="408" t="str">
        <f>CAPA!C3</f>
        <v>{RUA}, {COMPLEMENTO}; {SETOR} - {CIDADE}</v>
      </c>
      <c r="H17" s="392"/>
      <c r="I17" s="392"/>
      <c r="J17" s="392"/>
      <c r="K17" s="392"/>
      <c r="L17" s="409"/>
      <c r="M17" s="202"/>
    </row>
    <row r="18" spans="1:13" ht="15" customHeight="1" x14ac:dyDescent="0.25">
      <c r="A18" s="200"/>
      <c r="B18" s="191"/>
      <c r="C18" s="141"/>
      <c r="D18" s="310"/>
      <c r="E18" s="310"/>
      <c r="F18" s="310"/>
      <c r="G18" s="389"/>
      <c r="H18" s="389"/>
      <c r="I18" s="389"/>
      <c r="J18" s="389"/>
      <c r="K18" s="389"/>
      <c r="L18" s="410"/>
      <c r="M18" s="202"/>
    </row>
    <row r="19" spans="1:13" ht="15" customHeight="1" x14ac:dyDescent="0.25">
      <c r="A19" s="200"/>
      <c r="B19" s="191"/>
      <c r="C19" s="141" t="s">
        <v>83</v>
      </c>
      <c r="D19" s="390" t="s">
        <v>84</v>
      </c>
      <c r="E19" s="383"/>
      <c r="F19" s="383"/>
      <c r="G19" s="407" t="s">
        <v>85</v>
      </c>
      <c r="H19" s="401"/>
      <c r="I19" s="401"/>
      <c r="J19" s="401"/>
      <c r="K19" s="401"/>
      <c r="L19" s="207" t="s">
        <v>86</v>
      </c>
      <c r="M19" s="202"/>
    </row>
    <row r="20" spans="1:13" ht="15" customHeight="1" x14ac:dyDescent="0.25">
      <c r="A20" s="200"/>
      <c r="B20" s="421"/>
      <c r="C20" s="390" t="s">
        <v>87</v>
      </c>
      <c r="D20" s="388" t="s">
        <v>88</v>
      </c>
      <c r="E20" s="386"/>
      <c r="F20" s="386"/>
      <c r="G20" s="72" t="s">
        <v>89</v>
      </c>
      <c r="H20" s="72" t="s">
        <v>90</v>
      </c>
      <c r="I20" s="72" t="s">
        <v>91</v>
      </c>
      <c r="J20" s="208"/>
      <c r="K20" s="73" t="s">
        <v>92</v>
      </c>
      <c r="L20" s="73"/>
      <c r="M20" s="202"/>
    </row>
    <row r="21" spans="1:13" ht="15" customHeight="1" x14ac:dyDescent="0.25">
      <c r="A21" s="200"/>
      <c r="B21" s="422"/>
      <c r="C21" s="389"/>
      <c r="D21" s="389"/>
      <c r="E21" s="389"/>
      <c r="F21" s="389"/>
      <c r="G21" s="72" t="s">
        <v>93</v>
      </c>
      <c r="H21" s="72"/>
      <c r="I21" s="72" t="s">
        <v>94</v>
      </c>
      <c r="J21" s="208"/>
      <c r="K21" s="73" t="s">
        <v>95</v>
      </c>
      <c r="L21" s="73"/>
      <c r="M21" s="202"/>
    </row>
    <row r="22" spans="1:13" ht="15" customHeight="1" x14ac:dyDescent="0.25">
      <c r="A22" s="200"/>
      <c r="B22" s="191"/>
      <c r="C22" s="141" t="s">
        <v>96</v>
      </c>
      <c r="D22" s="390" t="s">
        <v>97</v>
      </c>
      <c r="E22" s="383"/>
      <c r="F22" s="383"/>
      <c r="G22" s="419" t="s">
        <v>98</v>
      </c>
      <c r="H22" s="394"/>
      <c r="I22" s="394"/>
      <c r="J22" s="394"/>
      <c r="K22" s="394"/>
      <c r="L22" s="395"/>
      <c r="M22" s="202"/>
    </row>
    <row r="23" spans="1:13" ht="15" customHeight="1" x14ac:dyDescent="0.25">
      <c r="A23" s="200"/>
      <c r="B23" s="191"/>
      <c r="C23" s="141" t="s">
        <v>99</v>
      </c>
      <c r="D23" s="390" t="s">
        <v>100</v>
      </c>
      <c r="E23" s="383"/>
      <c r="F23" s="383"/>
      <c r="G23" s="405" t="s">
        <v>101</v>
      </c>
      <c r="H23" s="383"/>
      <c r="I23" s="383"/>
      <c r="J23" s="383"/>
      <c r="K23" s="383"/>
      <c r="L23" s="384"/>
      <c r="M23" s="202"/>
    </row>
    <row r="24" spans="1:13" ht="15" customHeight="1" x14ac:dyDescent="0.25">
      <c r="A24" s="200"/>
      <c r="B24" s="191"/>
      <c r="C24" s="141" t="s">
        <v>102</v>
      </c>
      <c r="D24" s="390" t="s">
        <v>103</v>
      </c>
      <c r="E24" s="383"/>
      <c r="F24" s="383"/>
      <c r="G24" s="405" t="s">
        <v>104</v>
      </c>
      <c r="H24" s="383"/>
      <c r="I24" s="383"/>
      <c r="J24" s="383"/>
      <c r="K24" s="383"/>
      <c r="L24" s="384"/>
      <c r="M24" s="202"/>
    </row>
    <row r="25" spans="1:13" ht="15" customHeight="1" x14ac:dyDescent="0.25">
      <c r="A25" s="200"/>
      <c r="B25" s="191"/>
      <c r="C25" s="141" t="s">
        <v>105</v>
      </c>
      <c r="D25" s="411" t="s">
        <v>106</v>
      </c>
      <c r="E25" s="383"/>
      <c r="F25" s="383"/>
      <c r="G25" s="383"/>
      <c r="H25" s="383"/>
      <c r="I25" s="383"/>
      <c r="J25" s="383"/>
      <c r="K25" s="383"/>
      <c r="L25" s="384"/>
      <c r="M25" s="202"/>
    </row>
    <row r="26" spans="1:13" ht="15" customHeight="1" x14ac:dyDescent="0.25">
      <c r="A26" s="200"/>
      <c r="B26" s="191"/>
      <c r="C26" s="141"/>
      <c r="D26" s="141" t="s">
        <v>107</v>
      </c>
      <c r="E26" s="390" t="s">
        <v>108</v>
      </c>
      <c r="F26" s="383"/>
      <c r="G26" s="383"/>
      <c r="H26" s="383"/>
      <c r="I26" s="405" t="s">
        <v>109</v>
      </c>
      <c r="J26" s="383"/>
      <c r="K26" s="383"/>
      <c r="L26" s="384"/>
      <c r="M26" s="202"/>
    </row>
    <row r="27" spans="1:13" ht="15" customHeight="1" x14ac:dyDescent="0.25">
      <c r="A27" s="200"/>
      <c r="B27" s="191"/>
      <c r="C27" s="141"/>
      <c r="D27" s="141" t="s">
        <v>110</v>
      </c>
      <c r="E27" s="390" t="s">
        <v>111</v>
      </c>
      <c r="F27" s="383"/>
      <c r="G27" s="383"/>
      <c r="H27" s="383"/>
      <c r="I27" s="382"/>
      <c r="J27" s="383"/>
      <c r="K27" s="383"/>
      <c r="L27" s="384"/>
      <c r="M27" s="202"/>
    </row>
    <row r="28" spans="1:13" ht="15" customHeight="1" x14ac:dyDescent="0.25">
      <c r="A28" s="200"/>
      <c r="B28" s="191"/>
      <c r="C28" s="141"/>
      <c r="D28" s="141" t="s">
        <v>112</v>
      </c>
      <c r="E28" s="390" t="s">
        <v>113</v>
      </c>
      <c r="F28" s="383"/>
      <c r="G28" s="383"/>
      <c r="H28" s="383"/>
      <c r="I28" s="186"/>
      <c r="J28" s="141"/>
      <c r="K28" s="141"/>
      <c r="L28" s="195"/>
      <c r="M28" s="202"/>
    </row>
    <row r="29" spans="1:13" ht="15" customHeight="1" x14ac:dyDescent="0.25">
      <c r="A29" s="200"/>
      <c r="B29" s="191"/>
      <c r="C29" s="141" t="s">
        <v>114</v>
      </c>
      <c r="D29" s="390" t="s">
        <v>115</v>
      </c>
      <c r="E29" s="383"/>
      <c r="F29" s="383"/>
      <c r="G29" s="383"/>
      <c r="H29" s="396">
        <f>CAPA!D4</f>
        <v>0</v>
      </c>
      <c r="I29" s="383"/>
      <c r="J29" s="308" t="s">
        <v>40</v>
      </c>
      <c r="K29" s="308"/>
      <c r="L29" s="309"/>
      <c r="M29" s="202"/>
    </row>
    <row r="30" spans="1:13" ht="15" customHeight="1" x14ac:dyDescent="0.25">
      <c r="A30" s="200"/>
      <c r="B30" s="191"/>
      <c r="C30" s="141" t="s">
        <v>116</v>
      </c>
      <c r="D30" s="390" t="s">
        <v>117</v>
      </c>
      <c r="E30" s="383"/>
      <c r="F30" s="383"/>
      <c r="G30" s="383"/>
      <c r="H30" s="382"/>
      <c r="I30" s="383"/>
      <c r="J30" s="383"/>
      <c r="K30" s="383"/>
      <c r="L30" s="384"/>
      <c r="M30" s="202"/>
    </row>
    <row r="31" spans="1:13" ht="15" customHeight="1" x14ac:dyDescent="0.25">
      <c r="A31" s="200"/>
      <c r="B31" s="196"/>
      <c r="C31" s="142" t="s">
        <v>118</v>
      </c>
      <c r="D31" s="416" t="s">
        <v>119</v>
      </c>
      <c r="E31" s="401"/>
      <c r="F31" s="401"/>
      <c r="G31" s="401"/>
      <c r="H31" s="400"/>
      <c r="I31" s="401"/>
      <c r="J31" s="401"/>
      <c r="K31" s="401"/>
      <c r="L31" s="402"/>
      <c r="M31" s="202"/>
    </row>
    <row r="32" spans="1:13" ht="15" customHeight="1" x14ac:dyDescent="0.25">
      <c r="A32" s="200"/>
      <c r="B32" s="31" t="s">
        <v>120</v>
      </c>
      <c r="C32" s="399" t="s">
        <v>121</v>
      </c>
      <c r="D32" s="344"/>
      <c r="E32" s="344"/>
      <c r="F32" s="344"/>
      <c r="G32" s="344"/>
      <c r="H32" s="344"/>
      <c r="I32" s="344"/>
      <c r="J32" s="344"/>
      <c r="K32" s="344"/>
      <c r="L32" s="334"/>
      <c r="M32" s="202"/>
    </row>
    <row r="33" spans="1:13" ht="15" customHeight="1" x14ac:dyDescent="0.25">
      <c r="A33" s="200"/>
      <c r="B33" s="398" t="s">
        <v>122</v>
      </c>
      <c r="C33" s="337"/>
      <c r="D33" s="337"/>
      <c r="E33" s="337"/>
      <c r="F33" s="72">
        <v>10</v>
      </c>
      <c r="G33" s="404" t="s">
        <v>123</v>
      </c>
      <c r="H33" s="337"/>
      <c r="I33" s="337"/>
      <c r="J33" s="337"/>
      <c r="K33" s="337"/>
      <c r="L33" s="338"/>
      <c r="M33" s="202"/>
    </row>
    <row r="34" spans="1:13" ht="15" customHeight="1" x14ac:dyDescent="0.25">
      <c r="A34" s="200"/>
      <c r="B34" s="420" t="s">
        <v>124</v>
      </c>
      <c r="C34" s="392"/>
      <c r="D34" s="392"/>
      <c r="E34" s="392"/>
      <c r="F34" s="392"/>
      <c r="G34" s="392"/>
      <c r="H34" s="392"/>
      <c r="I34" s="392"/>
      <c r="J34" s="392"/>
      <c r="K34" s="392"/>
      <c r="L34" s="409"/>
      <c r="M34" s="202"/>
    </row>
    <row r="35" spans="1:13" ht="15" customHeight="1" x14ac:dyDescent="0.25">
      <c r="A35" s="200"/>
      <c r="B35" s="381" t="s">
        <v>125</v>
      </c>
      <c r="C35" s="340"/>
      <c r="D35" s="340"/>
      <c r="E35" s="340"/>
      <c r="F35" s="340"/>
      <c r="G35" s="340"/>
      <c r="H35" s="340"/>
      <c r="I35" s="340"/>
      <c r="J35" s="340"/>
      <c r="K35" s="340"/>
      <c r="L35" s="341"/>
      <c r="M35" s="202"/>
    </row>
    <row r="36" spans="1:13" ht="15" customHeight="1" x14ac:dyDescent="0.25">
      <c r="A36" s="200"/>
      <c r="B36" s="31" t="s">
        <v>126</v>
      </c>
      <c r="C36" s="399" t="s">
        <v>127</v>
      </c>
      <c r="D36" s="344"/>
      <c r="E36" s="344"/>
      <c r="F36" s="344"/>
      <c r="G36" s="344"/>
      <c r="H36" s="344"/>
      <c r="I36" s="344"/>
      <c r="J36" s="344"/>
      <c r="K36" s="344"/>
      <c r="L36" s="334"/>
      <c r="M36" s="202"/>
    </row>
    <row r="37" spans="1:13" ht="15" customHeight="1" x14ac:dyDescent="0.25">
      <c r="A37" s="200"/>
      <c r="B37" s="46" t="str">
        <f>CAPA!B11</f>
        <v>{CIDADE} , {DATA HOJE}</v>
      </c>
      <c r="C37" s="27"/>
      <c r="D37" s="27"/>
      <c r="E37" s="27"/>
      <c r="F37" s="27"/>
      <c r="G37" s="27"/>
      <c r="H37" s="27"/>
      <c r="I37" s="27"/>
      <c r="J37" s="27"/>
      <c r="K37" s="27"/>
      <c r="L37" s="28"/>
      <c r="M37" s="202"/>
    </row>
    <row r="38" spans="1:13" ht="15" customHeight="1" x14ac:dyDescent="0.25">
      <c r="A38" s="200"/>
      <c r="B38" s="12"/>
      <c r="L38" s="4"/>
      <c r="M38" s="202"/>
    </row>
    <row r="39" spans="1:13" ht="15" customHeight="1" x14ac:dyDescent="0.25">
      <c r="A39" s="200"/>
      <c r="B39" s="12"/>
      <c r="L39" s="4"/>
      <c r="M39" s="202"/>
    </row>
    <row r="40" spans="1:13" ht="15" customHeight="1" x14ac:dyDescent="0.25">
      <c r="A40" s="200"/>
      <c r="B40" s="12"/>
      <c r="L40" s="4"/>
      <c r="M40" s="202"/>
    </row>
    <row r="41" spans="1:13" ht="15" customHeight="1" x14ac:dyDescent="0.25">
      <c r="A41" s="200"/>
      <c r="B41" s="209" t="s">
        <v>128</v>
      </c>
      <c r="G41" s="391" t="s">
        <v>54</v>
      </c>
      <c r="H41" s="392"/>
      <c r="I41" s="392"/>
      <c r="J41" s="392"/>
      <c r="K41" s="392"/>
      <c r="L41" s="4"/>
      <c r="M41" s="202"/>
    </row>
    <row r="42" spans="1:13" ht="15" customHeight="1" x14ac:dyDescent="0.25">
      <c r="A42" s="200"/>
      <c r="B42" s="12"/>
      <c r="G42" s="397" t="str">
        <f>F5</f>
        <v>{IMCORPORADOR}</v>
      </c>
      <c r="H42" s="392"/>
      <c r="I42" s="392"/>
      <c r="J42" s="392"/>
      <c r="K42" s="392"/>
      <c r="L42" s="4"/>
      <c r="M42" s="202"/>
    </row>
    <row r="43" spans="1:13" ht="15" customHeight="1" x14ac:dyDescent="0.25">
      <c r="A43" s="200"/>
      <c r="B43" s="12"/>
      <c r="L43" s="4"/>
      <c r="M43" s="202"/>
    </row>
    <row r="44" spans="1:13" ht="15" customHeight="1" x14ac:dyDescent="0.25">
      <c r="A44" s="200"/>
      <c r="B44" s="12"/>
      <c r="L44" s="4"/>
      <c r="M44" s="202"/>
    </row>
    <row r="45" spans="1:13" ht="15" customHeight="1" x14ac:dyDescent="0.25">
      <c r="A45" s="200"/>
      <c r="B45" s="12"/>
      <c r="L45" s="4"/>
      <c r="M45" s="202"/>
    </row>
    <row r="46" spans="1:13" ht="15" customHeight="1" x14ac:dyDescent="0.25">
      <c r="A46" s="200"/>
      <c r="B46" s="12"/>
      <c r="L46" s="4"/>
      <c r="M46" s="202"/>
    </row>
    <row r="47" spans="1:13" ht="15" customHeight="1" x14ac:dyDescent="0.25">
      <c r="A47" s="200"/>
      <c r="B47" s="209" t="s">
        <v>129</v>
      </c>
      <c r="G47" s="391" t="s">
        <v>54</v>
      </c>
      <c r="H47" s="392"/>
      <c r="I47" s="392"/>
      <c r="J47" s="392"/>
      <c r="K47" s="392"/>
      <c r="L47" s="4"/>
      <c r="M47" s="202"/>
    </row>
    <row r="48" spans="1:13" ht="15" customHeight="1" x14ac:dyDescent="0.25">
      <c r="A48" s="200"/>
      <c r="B48" s="12"/>
      <c r="G48" s="397" t="str">
        <f>CAPA!B14</f>
        <v>{RESPONSÁVEL TÉCNICO}</v>
      </c>
      <c r="H48" s="392"/>
      <c r="I48" s="392"/>
      <c r="J48" s="392"/>
      <c r="K48" s="392"/>
      <c r="L48" s="4"/>
      <c r="M48" s="202"/>
    </row>
    <row r="49" spans="1:13" ht="15" customHeight="1" x14ac:dyDescent="0.25">
      <c r="A49" s="200"/>
      <c r="B49" s="12"/>
      <c r="L49" s="4"/>
      <c r="M49" s="202"/>
    </row>
    <row r="50" spans="1:13" ht="15" customHeight="1" x14ac:dyDescent="0.25">
      <c r="A50" s="200"/>
      <c r="B50" s="12"/>
      <c r="L50" s="4"/>
      <c r="M50" s="202"/>
    </row>
    <row r="51" spans="1:13" ht="15" customHeight="1" x14ac:dyDescent="0.25">
      <c r="A51" s="200"/>
      <c r="B51" s="415" t="s">
        <v>130</v>
      </c>
      <c r="C51" s="392"/>
      <c r="D51" s="392"/>
      <c r="E51" s="392"/>
      <c r="F51" s="392"/>
      <c r="G51" s="392"/>
      <c r="H51" s="392"/>
      <c r="I51" s="392"/>
      <c r="J51" s="392"/>
      <c r="K51" s="392"/>
      <c r="L51" s="409"/>
      <c r="M51" s="202"/>
    </row>
    <row r="52" spans="1:13" ht="15" customHeight="1" x14ac:dyDescent="0.25">
      <c r="A52" s="200"/>
      <c r="B52" s="339"/>
      <c r="C52" s="340"/>
      <c r="D52" s="340"/>
      <c r="E52" s="340"/>
      <c r="F52" s="340"/>
      <c r="G52" s="340"/>
      <c r="H52" s="340"/>
      <c r="I52" s="340"/>
      <c r="J52" s="340"/>
      <c r="K52" s="340"/>
      <c r="L52" s="341"/>
      <c r="M52" s="202"/>
    </row>
    <row r="53" spans="1:13" ht="9" customHeight="1" thickBot="1" x14ac:dyDescent="0.3">
      <c r="A53" s="203"/>
      <c r="B53" s="414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204"/>
    </row>
    <row r="54" spans="1:13" ht="10.199999999999999" customHeight="1" thickTop="1" x14ac:dyDescent="0.25">
      <c r="A54" s="21"/>
      <c r="B54" s="391"/>
      <c r="C54" s="392"/>
      <c r="D54" s="392"/>
      <c r="E54" s="392"/>
      <c r="F54" s="392"/>
      <c r="G54" s="392"/>
      <c r="H54" s="392"/>
      <c r="I54" s="392"/>
      <c r="J54" s="392"/>
      <c r="K54" s="392"/>
      <c r="L54" s="392"/>
    </row>
  </sheetData>
  <mergeCells count="61">
    <mergeCell ref="K3:L3"/>
    <mergeCell ref="F5:L5"/>
    <mergeCell ref="E28:H28"/>
    <mergeCell ref="D10:F10"/>
    <mergeCell ref="C13:C14"/>
    <mergeCell ref="D19:F19"/>
    <mergeCell ref="G11:L11"/>
    <mergeCell ref="C9:L9"/>
    <mergeCell ref="D5:E5"/>
    <mergeCell ref="D22:F22"/>
    <mergeCell ref="G23:L23"/>
    <mergeCell ref="E27:H27"/>
    <mergeCell ref="B1:L1"/>
    <mergeCell ref="D24:F24"/>
    <mergeCell ref="B2:J3"/>
    <mergeCell ref="F6:L6"/>
    <mergeCell ref="B53:L53"/>
    <mergeCell ref="B51:L52"/>
    <mergeCell ref="D31:G31"/>
    <mergeCell ref="D7:E7"/>
    <mergeCell ref="I26:L26"/>
    <mergeCell ref="D23:F23"/>
    <mergeCell ref="G16:L16"/>
    <mergeCell ref="C4:L4"/>
    <mergeCell ref="G22:L22"/>
    <mergeCell ref="B34:L34"/>
    <mergeCell ref="B20:B21"/>
    <mergeCell ref="D13:F14"/>
    <mergeCell ref="D6:E6"/>
    <mergeCell ref="G33:L33"/>
    <mergeCell ref="G24:L24"/>
    <mergeCell ref="B13:B14"/>
    <mergeCell ref="D12:F12"/>
    <mergeCell ref="G19:K19"/>
    <mergeCell ref="C15:L15"/>
    <mergeCell ref="G17:L18"/>
    <mergeCell ref="D25:L25"/>
    <mergeCell ref="I27:L27"/>
    <mergeCell ref="G12:L12"/>
    <mergeCell ref="B54:L54"/>
    <mergeCell ref="G10:L10"/>
    <mergeCell ref="C20:C21"/>
    <mergeCell ref="H29:I29"/>
    <mergeCell ref="G42:K42"/>
    <mergeCell ref="B33:E33"/>
    <mergeCell ref="D17:F17"/>
    <mergeCell ref="D30:G30"/>
    <mergeCell ref="D29:G29"/>
    <mergeCell ref="C32:L32"/>
    <mergeCell ref="H31:L31"/>
    <mergeCell ref="D16:F16"/>
    <mergeCell ref="G48:K48"/>
    <mergeCell ref="G47:K47"/>
    <mergeCell ref="G41:K41"/>
    <mergeCell ref="C36:L36"/>
    <mergeCell ref="B35:L35"/>
    <mergeCell ref="H30:L30"/>
    <mergeCell ref="F7:L8"/>
    <mergeCell ref="D20:F21"/>
    <mergeCell ref="D11:F11"/>
    <mergeCell ref="E26:H26"/>
  </mergeCells>
  <printOptions horizontalCentered="1" verticalCentered="1"/>
  <pageMargins left="0.59055118110236227" right="0.59055118110236227" top="0.59055118110236227" bottom="0.5905511811023622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2"/>
  <sheetViews>
    <sheetView showZeros="0" topLeftCell="A3" workbookViewId="0">
      <selection activeCell="D16" sqref="D16"/>
    </sheetView>
  </sheetViews>
  <sheetFormatPr defaultColWidth="1.6640625" defaultRowHeight="10.199999999999999" x14ac:dyDescent="0.25"/>
  <cols>
    <col min="1" max="1" width="1.6640625" style="7" customWidth="1"/>
    <col min="2" max="2" width="7.6640625" style="7" customWidth="1"/>
    <col min="3" max="3" width="8.5546875" style="7" customWidth="1"/>
    <col min="4" max="19" width="7.6640625" style="7" customWidth="1"/>
    <col min="20" max="20" width="6.88671875" style="7" customWidth="1"/>
    <col min="21" max="22" width="1.6640625" style="7" customWidth="1"/>
    <col min="23" max="16384" width="1.6640625" style="7"/>
  </cols>
  <sheetData>
    <row r="1" spans="1:30" ht="10.199999999999999" customHeight="1" thickTop="1" x14ac:dyDescent="0.25">
      <c r="A1" s="210"/>
      <c r="B1" s="438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211"/>
    </row>
    <row r="2" spans="1:30" ht="13.2" customHeight="1" x14ac:dyDescent="0.25">
      <c r="A2" s="212"/>
      <c r="B2" s="435" t="s">
        <v>0</v>
      </c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213"/>
    </row>
    <row r="3" spans="1:30" ht="13.2" customHeight="1" x14ac:dyDescent="0.25">
      <c r="A3" s="212"/>
      <c r="B3" s="432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213"/>
    </row>
    <row r="4" spans="1:30" ht="13.2" customHeight="1" x14ac:dyDescent="0.25">
      <c r="A4" s="212"/>
      <c r="B4" s="423" t="s">
        <v>131</v>
      </c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34"/>
      <c r="P4" s="259" t="s">
        <v>58</v>
      </c>
      <c r="Q4" s="262"/>
      <c r="R4" s="265">
        <f>('INFORMAÇÕES PRELIMINARES'!L2)+1</f>
        <v>2</v>
      </c>
      <c r="S4" s="266"/>
      <c r="T4" s="301"/>
      <c r="U4" s="213"/>
    </row>
    <row r="5" spans="1:30" ht="13.2" customHeight="1" x14ac:dyDescent="0.25">
      <c r="A5" s="212"/>
      <c r="B5" s="431" t="s">
        <v>132</v>
      </c>
      <c r="C5" s="337"/>
      <c r="D5" s="427" t="str">
        <f>CAPA!C3</f>
        <v>{RUA}, {COMPLEMENTO}; {SETOR} - {CIDADE}</v>
      </c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8"/>
      <c r="P5" s="439" t="s">
        <v>5</v>
      </c>
      <c r="Q5" s="337"/>
      <c r="R5" s="337"/>
      <c r="S5" s="337"/>
      <c r="T5" s="338"/>
      <c r="U5" s="213"/>
    </row>
    <row r="6" spans="1:30" ht="13.2" customHeight="1" x14ac:dyDescent="0.25">
      <c r="A6" s="212"/>
      <c r="B6" s="339"/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1"/>
      <c r="P6" s="75" t="s">
        <v>6</v>
      </c>
      <c r="Q6" s="14"/>
      <c r="R6" s="220">
        <v>10</v>
      </c>
      <c r="S6" s="83"/>
      <c r="T6" s="302"/>
      <c r="U6" s="213"/>
    </row>
    <row r="7" spans="1:30" ht="13.2" customHeight="1" x14ac:dyDescent="0.25">
      <c r="A7" s="212"/>
      <c r="B7" s="437" t="s">
        <v>7</v>
      </c>
      <c r="C7" s="344"/>
      <c r="D7" s="344"/>
      <c r="E7" s="344"/>
      <c r="F7" s="344"/>
      <c r="G7" s="344"/>
      <c r="H7" s="344"/>
      <c r="I7" s="344"/>
      <c r="J7" s="344"/>
      <c r="K7" s="267"/>
      <c r="L7" s="268"/>
      <c r="M7" s="423" t="s">
        <v>8</v>
      </c>
      <c r="N7" s="344"/>
      <c r="O7" s="344"/>
      <c r="P7" s="344"/>
      <c r="Q7" s="344"/>
      <c r="R7" s="344"/>
      <c r="S7" s="344"/>
      <c r="T7" s="334"/>
      <c r="U7" s="213"/>
    </row>
    <row r="8" spans="1:30" ht="13.2" customHeight="1" x14ac:dyDescent="0.25">
      <c r="A8" s="212"/>
      <c r="B8" s="79" t="s">
        <v>9</v>
      </c>
      <c r="C8" s="311" t="str">
        <f>('INFORMAÇÕES PRELIMINARES'!F5)</f>
        <v>{IMCORPORADOR}</v>
      </c>
      <c r="D8" s="29"/>
      <c r="E8" s="29"/>
      <c r="F8" s="29"/>
      <c r="G8" s="29"/>
      <c r="H8" s="29"/>
      <c r="I8" s="29"/>
      <c r="J8" s="29"/>
      <c r="K8" s="101"/>
      <c r="L8" s="22"/>
      <c r="M8" s="19" t="s">
        <v>9</v>
      </c>
      <c r="N8" s="311" t="str">
        <f>('INFORMAÇÕES PRELIMINARES'!G10)</f>
        <v>{RESPONSÁVEL TÉCNICO}</v>
      </c>
      <c r="O8" s="29"/>
      <c r="P8" s="29"/>
      <c r="Q8" s="29"/>
      <c r="R8" s="29"/>
      <c r="S8" s="29"/>
      <c r="T8" s="22"/>
      <c r="U8" s="213"/>
    </row>
    <row r="9" spans="1:30" ht="13.2" customHeight="1" x14ac:dyDescent="0.25">
      <c r="A9" s="212"/>
      <c r="B9" s="9" t="s">
        <v>10</v>
      </c>
      <c r="K9" s="16"/>
      <c r="L9" s="23"/>
      <c r="M9" s="10" t="s">
        <v>10</v>
      </c>
      <c r="T9" s="23"/>
      <c r="U9" s="213"/>
    </row>
    <row r="10" spans="1:30" ht="13.2" customHeight="1" x14ac:dyDescent="0.25">
      <c r="A10" s="212"/>
      <c r="B10" s="5" t="s">
        <v>11</v>
      </c>
      <c r="C10" s="314" t="s">
        <v>133</v>
      </c>
      <c r="D10" s="26"/>
      <c r="E10" s="26"/>
      <c r="F10" s="26"/>
      <c r="G10" s="26"/>
      <c r="H10" s="26"/>
      <c r="I10" s="26"/>
      <c r="J10" s="26"/>
      <c r="K10" s="14"/>
      <c r="L10" s="54"/>
      <c r="M10" s="11" t="s">
        <v>11</v>
      </c>
      <c r="N10" s="314" t="str">
        <f>('QUADRO I'!$C$10)</f>
        <v>{DATA HOJE}</v>
      </c>
      <c r="O10" s="26"/>
      <c r="P10" s="26"/>
      <c r="Q10" s="14" t="s">
        <v>134</v>
      </c>
      <c r="R10" s="26"/>
      <c r="S10" s="115" t="str">
        <f>('INFORMAÇÕES PRELIMINARES'!G11)</f>
        <v>{CREA}</v>
      </c>
      <c r="T10" s="303"/>
      <c r="U10" s="213"/>
    </row>
    <row r="11" spans="1:30" s="16" customFormat="1" ht="13.2" customHeight="1" x14ac:dyDescent="0.25">
      <c r="A11" s="214"/>
      <c r="B11" s="159"/>
      <c r="C11" s="433" t="s">
        <v>135</v>
      </c>
      <c r="D11" s="344"/>
      <c r="E11" s="344"/>
      <c r="F11" s="344"/>
      <c r="G11" s="344"/>
      <c r="H11" s="344"/>
      <c r="I11" s="344"/>
      <c r="J11" s="344"/>
      <c r="K11" s="344"/>
      <c r="L11" s="334"/>
      <c r="M11" s="430" t="s">
        <v>136</v>
      </c>
      <c r="N11" s="344"/>
      <c r="O11" s="344"/>
      <c r="P11" s="344"/>
      <c r="Q11" s="334"/>
      <c r="R11" s="428" t="s">
        <v>137</v>
      </c>
      <c r="S11" s="338"/>
      <c r="T11" s="424" t="s">
        <v>138</v>
      </c>
      <c r="U11" s="215"/>
    </row>
    <row r="12" spans="1:30" s="16" customFormat="1" ht="13.2" customHeight="1" x14ac:dyDescent="0.25">
      <c r="A12" s="214"/>
      <c r="B12" s="428" t="s">
        <v>139</v>
      </c>
      <c r="C12" s="433" t="s">
        <v>140</v>
      </c>
      <c r="D12" s="344"/>
      <c r="E12" s="344"/>
      <c r="F12" s="344"/>
      <c r="G12" s="334"/>
      <c r="H12" s="430" t="s">
        <v>141</v>
      </c>
      <c r="I12" s="344"/>
      <c r="J12" s="344"/>
      <c r="K12" s="344"/>
      <c r="L12" s="334"/>
      <c r="M12" s="430" t="s">
        <v>142</v>
      </c>
      <c r="N12" s="344"/>
      <c r="O12" s="344"/>
      <c r="P12" s="344"/>
      <c r="Q12" s="334"/>
      <c r="R12" s="429"/>
      <c r="S12" s="409"/>
      <c r="T12" s="425"/>
      <c r="U12" s="215"/>
    </row>
    <row r="13" spans="1:30" s="53" customFormat="1" ht="30" customHeight="1" x14ac:dyDescent="0.25">
      <c r="A13" s="216"/>
      <c r="B13" s="425"/>
      <c r="C13" s="428" t="s">
        <v>143</v>
      </c>
      <c r="D13" s="428" t="s">
        <v>144</v>
      </c>
      <c r="E13" s="334"/>
      <c r="F13" s="434" t="s">
        <v>145</v>
      </c>
      <c r="G13" s="334"/>
      <c r="H13" s="428" t="s">
        <v>143</v>
      </c>
      <c r="I13" s="428" t="s">
        <v>144</v>
      </c>
      <c r="J13" s="334"/>
      <c r="K13" s="434" t="s">
        <v>145</v>
      </c>
      <c r="L13" s="334"/>
      <c r="M13" s="428" t="s">
        <v>143</v>
      </c>
      <c r="N13" s="428" t="s">
        <v>144</v>
      </c>
      <c r="O13" s="334"/>
      <c r="P13" s="434" t="s">
        <v>145</v>
      </c>
      <c r="Q13" s="334"/>
      <c r="R13" s="339"/>
      <c r="S13" s="341"/>
      <c r="T13" s="425"/>
      <c r="U13" s="217"/>
    </row>
    <row r="14" spans="1:30" s="53" customFormat="1" ht="49.95" customHeight="1" x14ac:dyDescent="0.25">
      <c r="A14" s="216"/>
      <c r="B14" s="426"/>
      <c r="C14" s="426"/>
      <c r="D14" s="78" t="s">
        <v>146</v>
      </c>
      <c r="E14" s="151" t="s">
        <v>147</v>
      </c>
      <c r="F14" s="151" t="s">
        <v>148</v>
      </c>
      <c r="G14" s="151" t="s">
        <v>149</v>
      </c>
      <c r="H14" s="426"/>
      <c r="I14" s="78" t="s">
        <v>146</v>
      </c>
      <c r="J14" s="151" t="s">
        <v>147</v>
      </c>
      <c r="K14" s="151" t="s">
        <v>150</v>
      </c>
      <c r="L14" s="151" t="s">
        <v>151</v>
      </c>
      <c r="M14" s="426"/>
      <c r="N14" s="78" t="s">
        <v>146</v>
      </c>
      <c r="O14" s="151" t="s">
        <v>147</v>
      </c>
      <c r="P14" s="151" t="s">
        <v>152</v>
      </c>
      <c r="Q14" s="151" t="s">
        <v>153</v>
      </c>
      <c r="R14" s="151" t="s">
        <v>154</v>
      </c>
      <c r="S14" s="151" t="s">
        <v>155</v>
      </c>
      <c r="T14" s="425"/>
      <c r="U14" s="217"/>
    </row>
    <row r="15" spans="1:30" s="16" customFormat="1" ht="13.2" customHeight="1" x14ac:dyDescent="0.25">
      <c r="A15" s="214"/>
      <c r="B15" s="15">
        <v>1</v>
      </c>
      <c r="C15" s="15">
        <v>2</v>
      </c>
      <c r="D15" s="15">
        <v>3</v>
      </c>
      <c r="E15" s="15">
        <v>4</v>
      </c>
      <c r="F15" s="15">
        <v>5</v>
      </c>
      <c r="G15" s="15">
        <v>6</v>
      </c>
      <c r="H15" s="15">
        <v>7</v>
      </c>
      <c r="I15" s="15">
        <v>8</v>
      </c>
      <c r="J15" s="15">
        <v>9</v>
      </c>
      <c r="K15" s="15">
        <v>10</v>
      </c>
      <c r="L15" s="15">
        <v>11</v>
      </c>
      <c r="M15" s="15">
        <v>12</v>
      </c>
      <c r="N15" s="15">
        <v>13</v>
      </c>
      <c r="O15" s="15">
        <v>14</v>
      </c>
      <c r="P15" s="15">
        <v>15</v>
      </c>
      <c r="Q15" s="15">
        <v>16</v>
      </c>
      <c r="R15" s="15">
        <v>17</v>
      </c>
      <c r="S15" s="15">
        <v>18</v>
      </c>
      <c r="T15" s="426"/>
      <c r="U15" s="201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ht="12" customHeight="1" x14ac:dyDescent="0.25">
      <c r="A16" s="212"/>
      <c r="B16" s="221" t="s">
        <v>156</v>
      </c>
      <c r="C16" s="86">
        <f>CAPA!D10</f>
        <v>0</v>
      </c>
      <c r="D16" s="86"/>
      <c r="E16" s="86"/>
      <c r="F16" s="86">
        <f t="shared" ref="F16:F37" si="0">SUM(C16+D16)</f>
        <v>0</v>
      </c>
      <c r="G16" s="86">
        <f t="shared" ref="G16:G37" si="1">SUM(C16+E16)</f>
        <v>0</v>
      </c>
      <c r="H16" s="86"/>
      <c r="I16" s="86"/>
      <c r="J16" s="86"/>
      <c r="K16" s="86">
        <f t="shared" ref="K16:K37" si="2">SUM(H16+I16)</f>
        <v>0</v>
      </c>
      <c r="L16" s="86">
        <f t="shared" ref="L16:L37" si="3">SUM(H16+J16)</f>
        <v>0</v>
      </c>
      <c r="M16" s="86"/>
      <c r="N16" s="86"/>
      <c r="O16" s="86"/>
      <c r="P16" s="86">
        <f t="shared" ref="P16:P37" si="4">SUM(M16+N16)</f>
        <v>0</v>
      </c>
      <c r="Q16" s="86">
        <f t="shared" ref="Q16:Q37" si="5">SUM(M16+O16)</f>
        <v>0</v>
      </c>
      <c r="R16" s="86">
        <f t="shared" ref="R16:R37" si="6">SUM(F16+K16+P16)</f>
        <v>0</v>
      </c>
      <c r="S16" s="86">
        <f t="shared" ref="S16:S37" si="7">SUM(G16+L16+Q16)</f>
        <v>0</v>
      </c>
      <c r="T16" s="109"/>
      <c r="U16" s="213"/>
    </row>
    <row r="17" spans="1:21" ht="12" customHeight="1" x14ac:dyDescent="0.25">
      <c r="A17" s="212"/>
      <c r="B17" s="221"/>
      <c r="C17" s="86"/>
      <c r="D17" s="86"/>
      <c r="E17" s="86"/>
      <c r="F17" s="86">
        <f t="shared" si="0"/>
        <v>0</v>
      </c>
      <c r="G17" s="86">
        <f t="shared" si="1"/>
        <v>0</v>
      </c>
      <c r="H17" s="86"/>
      <c r="I17" s="86"/>
      <c r="J17" s="86"/>
      <c r="K17" s="86">
        <f t="shared" si="2"/>
        <v>0</v>
      </c>
      <c r="L17" s="86">
        <f t="shared" si="3"/>
        <v>0</v>
      </c>
      <c r="M17" s="86"/>
      <c r="N17" s="86"/>
      <c r="O17" s="86"/>
      <c r="P17" s="86">
        <f t="shared" si="4"/>
        <v>0</v>
      </c>
      <c r="Q17" s="86">
        <f t="shared" si="5"/>
        <v>0</v>
      </c>
      <c r="R17" s="86">
        <f t="shared" si="6"/>
        <v>0</v>
      </c>
      <c r="S17" s="86">
        <f t="shared" si="7"/>
        <v>0</v>
      </c>
      <c r="T17" s="109"/>
      <c r="U17" s="213"/>
    </row>
    <row r="18" spans="1:21" ht="12" customHeight="1" x14ac:dyDescent="0.25">
      <c r="A18" s="212"/>
      <c r="B18" s="221"/>
      <c r="C18" s="86"/>
      <c r="D18" s="86"/>
      <c r="E18" s="86"/>
      <c r="F18" s="86">
        <f t="shared" si="0"/>
        <v>0</v>
      </c>
      <c r="G18" s="86">
        <f t="shared" si="1"/>
        <v>0</v>
      </c>
      <c r="H18" s="86"/>
      <c r="I18" s="86"/>
      <c r="J18" s="86"/>
      <c r="K18" s="86">
        <f t="shared" si="2"/>
        <v>0</v>
      </c>
      <c r="L18" s="86">
        <f t="shared" si="3"/>
        <v>0</v>
      </c>
      <c r="M18" s="86"/>
      <c r="N18" s="86"/>
      <c r="O18" s="86"/>
      <c r="P18" s="86">
        <f t="shared" si="4"/>
        <v>0</v>
      </c>
      <c r="Q18" s="86">
        <f t="shared" si="5"/>
        <v>0</v>
      </c>
      <c r="R18" s="86">
        <f t="shared" si="6"/>
        <v>0</v>
      </c>
      <c r="S18" s="86">
        <f t="shared" si="7"/>
        <v>0</v>
      </c>
      <c r="T18" s="109"/>
      <c r="U18" s="213"/>
    </row>
    <row r="19" spans="1:21" ht="12" customHeight="1" x14ac:dyDescent="0.25">
      <c r="A19" s="212"/>
      <c r="B19" s="221"/>
      <c r="C19" s="86"/>
      <c r="D19" s="86"/>
      <c r="E19" s="86"/>
      <c r="F19" s="86">
        <f t="shared" si="0"/>
        <v>0</v>
      </c>
      <c r="G19" s="86">
        <f t="shared" si="1"/>
        <v>0</v>
      </c>
      <c r="H19" s="86"/>
      <c r="I19" s="86"/>
      <c r="J19" s="86"/>
      <c r="K19" s="86">
        <f t="shared" si="2"/>
        <v>0</v>
      </c>
      <c r="L19" s="86">
        <f t="shared" si="3"/>
        <v>0</v>
      </c>
      <c r="M19" s="86"/>
      <c r="N19" s="86"/>
      <c r="O19" s="86"/>
      <c r="P19" s="86">
        <f t="shared" si="4"/>
        <v>0</v>
      </c>
      <c r="Q19" s="86">
        <f t="shared" si="5"/>
        <v>0</v>
      </c>
      <c r="R19" s="86">
        <f t="shared" si="6"/>
        <v>0</v>
      </c>
      <c r="S19" s="86">
        <f t="shared" si="7"/>
        <v>0</v>
      </c>
      <c r="T19" s="109"/>
      <c r="U19" s="213"/>
    </row>
    <row r="20" spans="1:21" ht="12" customHeight="1" x14ac:dyDescent="0.25">
      <c r="A20" s="212"/>
      <c r="B20" s="221"/>
      <c r="C20" s="86"/>
      <c r="D20" s="86"/>
      <c r="E20" s="86"/>
      <c r="F20" s="86">
        <f t="shared" si="0"/>
        <v>0</v>
      </c>
      <c r="G20" s="86">
        <f t="shared" si="1"/>
        <v>0</v>
      </c>
      <c r="H20" s="86"/>
      <c r="I20" s="86"/>
      <c r="J20" s="86"/>
      <c r="K20" s="86">
        <f t="shared" si="2"/>
        <v>0</v>
      </c>
      <c r="L20" s="86">
        <f t="shared" si="3"/>
        <v>0</v>
      </c>
      <c r="M20" s="86"/>
      <c r="N20" s="86"/>
      <c r="O20" s="86"/>
      <c r="P20" s="86">
        <f t="shared" si="4"/>
        <v>0</v>
      </c>
      <c r="Q20" s="86">
        <f t="shared" si="5"/>
        <v>0</v>
      </c>
      <c r="R20" s="86">
        <f t="shared" si="6"/>
        <v>0</v>
      </c>
      <c r="S20" s="86">
        <f t="shared" si="7"/>
        <v>0</v>
      </c>
      <c r="T20" s="109"/>
      <c r="U20" s="213"/>
    </row>
    <row r="21" spans="1:21" ht="12" customHeight="1" x14ac:dyDescent="0.25">
      <c r="A21" s="212"/>
      <c r="B21" s="221"/>
      <c r="C21" s="86"/>
      <c r="D21" s="86"/>
      <c r="E21" s="86"/>
      <c r="F21" s="86">
        <f t="shared" si="0"/>
        <v>0</v>
      </c>
      <c r="G21" s="86">
        <f t="shared" si="1"/>
        <v>0</v>
      </c>
      <c r="H21" s="86"/>
      <c r="I21" s="86"/>
      <c r="J21" s="86"/>
      <c r="K21" s="86">
        <f t="shared" si="2"/>
        <v>0</v>
      </c>
      <c r="L21" s="86">
        <f t="shared" si="3"/>
        <v>0</v>
      </c>
      <c r="M21" s="86"/>
      <c r="N21" s="86"/>
      <c r="O21" s="86"/>
      <c r="P21" s="86">
        <f t="shared" si="4"/>
        <v>0</v>
      </c>
      <c r="Q21" s="86">
        <f t="shared" si="5"/>
        <v>0</v>
      </c>
      <c r="R21" s="86">
        <f t="shared" si="6"/>
        <v>0</v>
      </c>
      <c r="S21" s="86">
        <f t="shared" si="7"/>
        <v>0</v>
      </c>
      <c r="T21" s="109"/>
      <c r="U21" s="213"/>
    </row>
    <row r="22" spans="1:21" ht="12" customHeight="1" x14ac:dyDescent="0.25">
      <c r="A22" s="212"/>
      <c r="B22" s="221"/>
      <c r="C22" s="86"/>
      <c r="D22" s="86"/>
      <c r="E22" s="86"/>
      <c r="F22" s="86">
        <f t="shared" si="0"/>
        <v>0</v>
      </c>
      <c r="G22" s="86">
        <f t="shared" si="1"/>
        <v>0</v>
      </c>
      <c r="H22" s="86"/>
      <c r="I22" s="86"/>
      <c r="J22" s="86"/>
      <c r="K22" s="86">
        <f t="shared" si="2"/>
        <v>0</v>
      </c>
      <c r="L22" s="86">
        <f t="shared" si="3"/>
        <v>0</v>
      </c>
      <c r="M22" s="86"/>
      <c r="N22" s="86"/>
      <c r="O22" s="86"/>
      <c r="P22" s="86">
        <f t="shared" si="4"/>
        <v>0</v>
      </c>
      <c r="Q22" s="86">
        <f t="shared" si="5"/>
        <v>0</v>
      </c>
      <c r="R22" s="86">
        <f t="shared" si="6"/>
        <v>0</v>
      </c>
      <c r="S22" s="86">
        <f t="shared" si="7"/>
        <v>0</v>
      </c>
      <c r="T22" s="109"/>
      <c r="U22" s="213"/>
    </row>
    <row r="23" spans="1:21" ht="12" customHeight="1" x14ac:dyDescent="0.25">
      <c r="A23" s="212"/>
      <c r="B23" s="221"/>
      <c r="C23" s="86"/>
      <c r="D23" s="86"/>
      <c r="E23" s="86"/>
      <c r="F23" s="86">
        <f t="shared" si="0"/>
        <v>0</v>
      </c>
      <c r="G23" s="86">
        <f t="shared" si="1"/>
        <v>0</v>
      </c>
      <c r="H23" s="86"/>
      <c r="I23" s="86"/>
      <c r="J23" s="86"/>
      <c r="K23" s="86">
        <f t="shared" si="2"/>
        <v>0</v>
      </c>
      <c r="L23" s="86">
        <f t="shared" si="3"/>
        <v>0</v>
      </c>
      <c r="M23" s="86"/>
      <c r="N23" s="86"/>
      <c r="O23" s="86"/>
      <c r="P23" s="86">
        <f t="shared" si="4"/>
        <v>0</v>
      </c>
      <c r="Q23" s="86">
        <f t="shared" si="5"/>
        <v>0</v>
      </c>
      <c r="R23" s="86">
        <f t="shared" si="6"/>
        <v>0</v>
      </c>
      <c r="S23" s="86">
        <f t="shared" si="7"/>
        <v>0</v>
      </c>
      <c r="T23" s="109"/>
      <c r="U23" s="213"/>
    </row>
    <row r="24" spans="1:21" ht="12" customHeight="1" x14ac:dyDescent="0.25">
      <c r="A24" s="212"/>
      <c r="B24" s="221"/>
      <c r="C24" s="86"/>
      <c r="D24" s="86"/>
      <c r="E24" s="86"/>
      <c r="F24" s="86">
        <f t="shared" si="0"/>
        <v>0</v>
      </c>
      <c r="G24" s="86">
        <f t="shared" si="1"/>
        <v>0</v>
      </c>
      <c r="H24" s="86"/>
      <c r="I24" s="86"/>
      <c r="J24" s="86"/>
      <c r="K24" s="86">
        <f t="shared" si="2"/>
        <v>0</v>
      </c>
      <c r="L24" s="86">
        <f t="shared" si="3"/>
        <v>0</v>
      </c>
      <c r="M24" s="86"/>
      <c r="N24" s="86"/>
      <c r="O24" s="86"/>
      <c r="P24" s="86">
        <f t="shared" si="4"/>
        <v>0</v>
      </c>
      <c r="Q24" s="86">
        <f t="shared" si="5"/>
        <v>0</v>
      </c>
      <c r="R24" s="86">
        <f t="shared" si="6"/>
        <v>0</v>
      </c>
      <c r="S24" s="86">
        <f t="shared" si="7"/>
        <v>0</v>
      </c>
      <c r="T24" s="109"/>
      <c r="U24" s="213"/>
    </row>
    <row r="25" spans="1:21" ht="12" customHeight="1" x14ac:dyDescent="0.25">
      <c r="A25" s="212"/>
      <c r="B25" s="221"/>
      <c r="C25" s="86"/>
      <c r="D25" s="86"/>
      <c r="E25" s="86"/>
      <c r="F25" s="86">
        <f t="shared" si="0"/>
        <v>0</v>
      </c>
      <c r="G25" s="86">
        <f t="shared" si="1"/>
        <v>0</v>
      </c>
      <c r="H25" s="86"/>
      <c r="I25" s="86"/>
      <c r="J25" s="86"/>
      <c r="K25" s="86">
        <f t="shared" si="2"/>
        <v>0</v>
      </c>
      <c r="L25" s="86">
        <f t="shared" si="3"/>
        <v>0</v>
      </c>
      <c r="M25" s="86"/>
      <c r="N25" s="86"/>
      <c r="O25" s="86"/>
      <c r="P25" s="86">
        <f t="shared" si="4"/>
        <v>0</v>
      </c>
      <c r="Q25" s="86">
        <f t="shared" si="5"/>
        <v>0</v>
      </c>
      <c r="R25" s="86">
        <f t="shared" si="6"/>
        <v>0</v>
      </c>
      <c r="S25" s="86">
        <f t="shared" si="7"/>
        <v>0</v>
      </c>
      <c r="T25" s="109"/>
      <c r="U25" s="213"/>
    </row>
    <row r="26" spans="1:21" ht="12" customHeight="1" x14ac:dyDescent="0.25">
      <c r="A26" s="212"/>
      <c r="B26" s="221"/>
      <c r="C26" s="86"/>
      <c r="D26" s="86"/>
      <c r="E26" s="86"/>
      <c r="F26" s="86">
        <f t="shared" si="0"/>
        <v>0</v>
      </c>
      <c r="G26" s="86">
        <f t="shared" si="1"/>
        <v>0</v>
      </c>
      <c r="H26" s="86"/>
      <c r="I26" s="86"/>
      <c r="J26" s="86"/>
      <c r="K26" s="86">
        <f t="shared" si="2"/>
        <v>0</v>
      </c>
      <c r="L26" s="86">
        <f t="shared" si="3"/>
        <v>0</v>
      </c>
      <c r="M26" s="86"/>
      <c r="N26" s="86"/>
      <c r="O26" s="86"/>
      <c r="P26" s="86">
        <f t="shared" si="4"/>
        <v>0</v>
      </c>
      <c r="Q26" s="86">
        <f t="shared" si="5"/>
        <v>0</v>
      </c>
      <c r="R26" s="86">
        <f t="shared" si="6"/>
        <v>0</v>
      </c>
      <c r="S26" s="86">
        <f t="shared" si="7"/>
        <v>0</v>
      </c>
      <c r="T26" s="109"/>
      <c r="U26" s="213"/>
    </row>
    <row r="27" spans="1:21" ht="12" customHeight="1" x14ac:dyDescent="0.25">
      <c r="A27" s="212"/>
      <c r="B27" s="221"/>
      <c r="C27" s="86"/>
      <c r="D27" s="86"/>
      <c r="E27" s="86"/>
      <c r="F27" s="86">
        <f t="shared" si="0"/>
        <v>0</v>
      </c>
      <c r="G27" s="86">
        <f t="shared" si="1"/>
        <v>0</v>
      </c>
      <c r="H27" s="86"/>
      <c r="I27" s="86"/>
      <c r="J27" s="86"/>
      <c r="K27" s="86">
        <f t="shared" si="2"/>
        <v>0</v>
      </c>
      <c r="L27" s="86">
        <f t="shared" si="3"/>
        <v>0</v>
      </c>
      <c r="M27" s="86"/>
      <c r="N27" s="86"/>
      <c r="O27" s="86"/>
      <c r="P27" s="86">
        <f t="shared" si="4"/>
        <v>0</v>
      </c>
      <c r="Q27" s="86">
        <f t="shared" si="5"/>
        <v>0</v>
      </c>
      <c r="R27" s="86">
        <f t="shared" si="6"/>
        <v>0</v>
      </c>
      <c r="S27" s="86">
        <f t="shared" si="7"/>
        <v>0</v>
      </c>
      <c r="T27" s="109"/>
      <c r="U27" s="213"/>
    </row>
    <row r="28" spans="1:21" ht="12" customHeight="1" x14ac:dyDescent="0.25">
      <c r="A28" s="212"/>
      <c r="B28" s="221"/>
      <c r="C28" s="86"/>
      <c r="D28" s="86"/>
      <c r="E28" s="86"/>
      <c r="F28" s="86">
        <f t="shared" si="0"/>
        <v>0</v>
      </c>
      <c r="G28" s="86">
        <f t="shared" si="1"/>
        <v>0</v>
      </c>
      <c r="H28" s="86"/>
      <c r="I28" s="86"/>
      <c r="J28" s="86"/>
      <c r="K28" s="86">
        <f t="shared" si="2"/>
        <v>0</v>
      </c>
      <c r="L28" s="86">
        <f t="shared" si="3"/>
        <v>0</v>
      </c>
      <c r="M28" s="86"/>
      <c r="N28" s="86"/>
      <c r="O28" s="86"/>
      <c r="P28" s="86">
        <f t="shared" si="4"/>
        <v>0</v>
      </c>
      <c r="Q28" s="86">
        <f t="shared" si="5"/>
        <v>0</v>
      </c>
      <c r="R28" s="86">
        <f t="shared" si="6"/>
        <v>0</v>
      </c>
      <c r="S28" s="86">
        <f t="shared" si="7"/>
        <v>0</v>
      </c>
      <c r="T28" s="109"/>
      <c r="U28" s="213"/>
    </row>
    <row r="29" spans="1:21" ht="12" customHeight="1" x14ac:dyDescent="0.25">
      <c r="A29" s="212"/>
      <c r="B29" s="221"/>
      <c r="C29" s="86"/>
      <c r="D29" s="86"/>
      <c r="E29" s="86"/>
      <c r="F29" s="86">
        <f t="shared" si="0"/>
        <v>0</v>
      </c>
      <c r="G29" s="86">
        <f t="shared" si="1"/>
        <v>0</v>
      </c>
      <c r="H29" s="86"/>
      <c r="I29" s="86"/>
      <c r="J29" s="86"/>
      <c r="K29" s="86">
        <f t="shared" si="2"/>
        <v>0</v>
      </c>
      <c r="L29" s="86">
        <f t="shared" si="3"/>
        <v>0</v>
      </c>
      <c r="M29" s="86"/>
      <c r="N29" s="86"/>
      <c r="O29" s="86"/>
      <c r="P29" s="86">
        <f t="shared" si="4"/>
        <v>0</v>
      </c>
      <c r="Q29" s="86">
        <f t="shared" si="5"/>
        <v>0</v>
      </c>
      <c r="R29" s="86">
        <f t="shared" si="6"/>
        <v>0</v>
      </c>
      <c r="S29" s="86">
        <f t="shared" si="7"/>
        <v>0</v>
      </c>
      <c r="T29" s="109"/>
      <c r="U29" s="213"/>
    </row>
    <row r="30" spans="1:21" ht="12" customHeight="1" x14ac:dyDescent="0.25">
      <c r="A30" s="212"/>
      <c r="B30" s="221"/>
      <c r="C30" s="86"/>
      <c r="D30" s="86"/>
      <c r="E30" s="86"/>
      <c r="F30" s="86">
        <f t="shared" si="0"/>
        <v>0</v>
      </c>
      <c r="G30" s="86">
        <f t="shared" si="1"/>
        <v>0</v>
      </c>
      <c r="H30" s="86"/>
      <c r="I30" s="86"/>
      <c r="J30" s="86"/>
      <c r="K30" s="86">
        <f t="shared" si="2"/>
        <v>0</v>
      </c>
      <c r="L30" s="86">
        <f t="shared" si="3"/>
        <v>0</v>
      </c>
      <c r="M30" s="86"/>
      <c r="N30" s="86"/>
      <c r="O30" s="86"/>
      <c r="P30" s="86">
        <f t="shared" si="4"/>
        <v>0</v>
      </c>
      <c r="Q30" s="86">
        <f t="shared" si="5"/>
        <v>0</v>
      </c>
      <c r="R30" s="86">
        <f t="shared" si="6"/>
        <v>0</v>
      </c>
      <c r="S30" s="86">
        <f t="shared" si="7"/>
        <v>0</v>
      </c>
      <c r="T30" s="109"/>
      <c r="U30" s="213"/>
    </row>
    <row r="31" spans="1:21" ht="12" customHeight="1" x14ac:dyDescent="0.25">
      <c r="A31" s="212"/>
      <c r="B31" s="221"/>
      <c r="C31" s="86"/>
      <c r="D31" s="86"/>
      <c r="E31" s="86"/>
      <c r="F31" s="86">
        <f t="shared" si="0"/>
        <v>0</v>
      </c>
      <c r="G31" s="86">
        <f t="shared" si="1"/>
        <v>0</v>
      </c>
      <c r="H31" s="86"/>
      <c r="I31" s="86"/>
      <c r="J31" s="86"/>
      <c r="K31" s="86">
        <f t="shared" si="2"/>
        <v>0</v>
      </c>
      <c r="L31" s="86">
        <f t="shared" si="3"/>
        <v>0</v>
      </c>
      <c r="M31" s="86"/>
      <c r="N31" s="86"/>
      <c r="O31" s="86"/>
      <c r="P31" s="86">
        <f t="shared" si="4"/>
        <v>0</v>
      </c>
      <c r="Q31" s="86">
        <f t="shared" si="5"/>
        <v>0</v>
      </c>
      <c r="R31" s="86">
        <f t="shared" si="6"/>
        <v>0</v>
      </c>
      <c r="S31" s="86">
        <f t="shared" si="7"/>
        <v>0</v>
      </c>
      <c r="T31" s="109"/>
      <c r="U31" s="213"/>
    </row>
    <row r="32" spans="1:21" ht="12" customHeight="1" x14ac:dyDescent="0.25">
      <c r="A32" s="212"/>
      <c r="B32" s="221"/>
      <c r="C32" s="86"/>
      <c r="D32" s="86"/>
      <c r="E32" s="86"/>
      <c r="F32" s="86">
        <f t="shared" si="0"/>
        <v>0</v>
      </c>
      <c r="G32" s="86">
        <f t="shared" si="1"/>
        <v>0</v>
      </c>
      <c r="H32" s="86"/>
      <c r="I32" s="86"/>
      <c r="J32" s="86"/>
      <c r="K32" s="86">
        <f t="shared" si="2"/>
        <v>0</v>
      </c>
      <c r="L32" s="86">
        <f t="shared" si="3"/>
        <v>0</v>
      </c>
      <c r="M32" s="86"/>
      <c r="N32" s="86"/>
      <c r="O32" s="86"/>
      <c r="P32" s="86">
        <f t="shared" si="4"/>
        <v>0</v>
      </c>
      <c r="Q32" s="86">
        <f t="shared" si="5"/>
        <v>0</v>
      </c>
      <c r="R32" s="86">
        <f t="shared" si="6"/>
        <v>0</v>
      </c>
      <c r="S32" s="86">
        <f t="shared" si="7"/>
        <v>0</v>
      </c>
      <c r="T32" s="109"/>
      <c r="U32" s="213"/>
    </row>
    <row r="33" spans="1:21" ht="12" customHeight="1" x14ac:dyDescent="0.25">
      <c r="A33" s="212"/>
      <c r="B33" s="221"/>
      <c r="C33" s="86"/>
      <c r="D33" s="86"/>
      <c r="E33" s="86"/>
      <c r="F33" s="86">
        <f t="shared" si="0"/>
        <v>0</v>
      </c>
      <c r="G33" s="86">
        <f t="shared" si="1"/>
        <v>0</v>
      </c>
      <c r="H33" s="86"/>
      <c r="I33" s="86"/>
      <c r="J33" s="86"/>
      <c r="K33" s="86">
        <f t="shared" si="2"/>
        <v>0</v>
      </c>
      <c r="L33" s="86">
        <f t="shared" si="3"/>
        <v>0</v>
      </c>
      <c r="M33" s="86"/>
      <c r="N33" s="86"/>
      <c r="O33" s="86"/>
      <c r="P33" s="86">
        <f t="shared" si="4"/>
        <v>0</v>
      </c>
      <c r="Q33" s="86">
        <f t="shared" si="5"/>
        <v>0</v>
      </c>
      <c r="R33" s="86">
        <f t="shared" si="6"/>
        <v>0</v>
      </c>
      <c r="S33" s="86">
        <f t="shared" si="7"/>
        <v>0</v>
      </c>
      <c r="T33" s="109"/>
      <c r="U33" s="213"/>
    </row>
    <row r="34" spans="1:21" ht="12" customHeight="1" x14ac:dyDescent="0.25">
      <c r="A34" s="212"/>
      <c r="B34" s="221"/>
      <c r="C34" s="86"/>
      <c r="D34" s="86"/>
      <c r="E34" s="86"/>
      <c r="F34" s="86">
        <f t="shared" si="0"/>
        <v>0</v>
      </c>
      <c r="G34" s="86">
        <f t="shared" si="1"/>
        <v>0</v>
      </c>
      <c r="H34" s="86"/>
      <c r="I34" s="86"/>
      <c r="J34" s="86"/>
      <c r="K34" s="86">
        <f t="shared" si="2"/>
        <v>0</v>
      </c>
      <c r="L34" s="86">
        <f t="shared" si="3"/>
        <v>0</v>
      </c>
      <c r="M34" s="86"/>
      <c r="N34" s="86"/>
      <c r="O34" s="86"/>
      <c r="P34" s="86">
        <f t="shared" si="4"/>
        <v>0</v>
      </c>
      <c r="Q34" s="86">
        <f t="shared" si="5"/>
        <v>0</v>
      </c>
      <c r="R34" s="86">
        <f t="shared" si="6"/>
        <v>0</v>
      </c>
      <c r="S34" s="86">
        <f t="shared" si="7"/>
        <v>0</v>
      </c>
      <c r="T34" s="109"/>
      <c r="U34" s="213"/>
    </row>
    <row r="35" spans="1:21" ht="12" customHeight="1" x14ac:dyDescent="0.25">
      <c r="A35" s="212"/>
      <c r="B35" s="221"/>
      <c r="C35" s="86"/>
      <c r="D35" s="86"/>
      <c r="E35" s="86"/>
      <c r="F35" s="86">
        <f t="shared" si="0"/>
        <v>0</v>
      </c>
      <c r="G35" s="86">
        <f t="shared" si="1"/>
        <v>0</v>
      </c>
      <c r="H35" s="86"/>
      <c r="I35" s="86"/>
      <c r="J35" s="86"/>
      <c r="K35" s="86">
        <f t="shared" si="2"/>
        <v>0</v>
      </c>
      <c r="L35" s="86">
        <f t="shared" si="3"/>
        <v>0</v>
      </c>
      <c r="M35" s="86"/>
      <c r="N35" s="86"/>
      <c r="O35" s="86"/>
      <c r="P35" s="86">
        <f t="shared" si="4"/>
        <v>0</v>
      </c>
      <c r="Q35" s="86">
        <f t="shared" si="5"/>
        <v>0</v>
      </c>
      <c r="R35" s="86">
        <f t="shared" si="6"/>
        <v>0</v>
      </c>
      <c r="S35" s="86">
        <f t="shared" si="7"/>
        <v>0</v>
      </c>
      <c r="T35" s="109"/>
      <c r="U35" s="213"/>
    </row>
    <row r="36" spans="1:21" ht="12" customHeight="1" x14ac:dyDescent="0.25">
      <c r="A36" s="212"/>
      <c r="B36" s="221"/>
      <c r="C36" s="86"/>
      <c r="D36" s="86"/>
      <c r="E36" s="86"/>
      <c r="F36" s="86">
        <f t="shared" si="0"/>
        <v>0</v>
      </c>
      <c r="G36" s="86">
        <f t="shared" si="1"/>
        <v>0</v>
      </c>
      <c r="H36" s="86"/>
      <c r="I36" s="86"/>
      <c r="J36" s="86"/>
      <c r="K36" s="86">
        <f t="shared" si="2"/>
        <v>0</v>
      </c>
      <c r="L36" s="86">
        <f t="shared" si="3"/>
        <v>0</v>
      </c>
      <c r="M36" s="86"/>
      <c r="N36" s="86"/>
      <c r="O36" s="86"/>
      <c r="P36" s="86">
        <f t="shared" si="4"/>
        <v>0</v>
      </c>
      <c r="Q36" s="86">
        <f t="shared" si="5"/>
        <v>0</v>
      </c>
      <c r="R36" s="86">
        <f t="shared" si="6"/>
        <v>0</v>
      </c>
      <c r="S36" s="86">
        <f t="shared" si="7"/>
        <v>0</v>
      </c>
      <c r="T36" s="109"/>
      <c r="U36" s="213"/>
    </row>
    <row r="37" spans="1:21" ht="12" customHeight="1" x14ac:dyDescent="0.25">
      <c r="A37" s="212"/>
      <c r="B37" s="221"/>
      <c r="C37" s="86"/>
      <c r="D37" s="86"/>
      <c r="E37" s="86"/>
      <c r="F37" s="86">
        <f t="shared" si="0"/>
        <v>0</v>
      </c>
      <c r="G37" s="86">
        <f t="shared" si="1"/>
        <v>0</v>
      </c>
      <c r="H37" s="86"/>
      <c r="I37" s="86"/>
      <c r="J37" s="86"/>
      <c r="K37" s="86">
        <f t="shared" si="2"/>
        <v>0</v>
      </c>
      <c r="L37" s="86">
        <f t="shared" si="3"/>
        <v>0</v>
      </c>
      <c r="M37" s="86"/>
      <c r="N37" s="86"/>
      <c r="O37" s="86"/>
      <c r="P37" s="86">
        <f t="shared" si="4"/>
        <v>0</v>
      </c>
      <c r="Q37" s="86">
        <f t="shared" si="5"/>
        <v>0</v>
      </c>
      <c r="R37" s="86">
        <f t="shared" si="6"/>
        <v>0</v>
      </c>
      <c r="S37" s="86">
        <f t="shared" si="7"/>
        <v>0</v>
      </c>
      <c r="T37" s="109"/>
      <c r="U37" s="213"/>
    </row>
    <row r="38" spans="1:21" ht="12" customHeight="1" x14ac:dyDescent="0.25">
      <c r="A38" s="212"/>
      <c r="B38" s="221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109"/>
      <c r="U38" s="213"/>
    </row>
    <row r="39" spans="1:21" ht="13.2" customHeight="1" x14ac:dyDescent="0.25">
      <c r="A39" s="212"/>
      <c r="B39" s="17" t="s">
        <v>145</v>
      </c>
      <c r="C39" s="87">
        <f>CAPA!D10</f>
        <v>0</v>
      </c>
      <c r="D39" s="87">
        <f>SUMPRODUCT(D16:D38,$T16:$T38)</f>
        <v>0</v>
      </c>
      <c r="E39" s="87">
        <f>SUMPRODUCT(E16:E38,$T16:$T38)</f>
        <v>0</v>
      </c>
      <c r="F39" s="87">
        <f>CAPA!D10</f>
        <v>0</v>
      </c>
      <c r="G39" s="87">
        <f>CAPA!D10</f>
        <v>0</v>
      </c>
      <c r="H39" s="87">
        <f t="shared" ref="H39:Q39" si="8">SUMPRODUCT(H16:H38,$T16:$T38)</f>
        <v>0</v>
      </c>
      <c r="I39" s="87">
        <f t="shared" si="8"/>
        <v>0</v>
      </c>
      <c r="J39" s="87">
        <f t="shared" si="8"/>
        <v>0</v>
      </c>
      <c r="K39" s="87">
        <f t="shared" si="8"/>
        <v>0</v>
      </c>
      <c r="L39" s="87">
        <f t="shared" si="8"/>
        <v>0</v>
      </c>
      <c r="M39" s="87">
        <f t="shared" si="8"/>
        <v>0</v>
      </c>
      <c r="N39" s="87">
        <f t="shared" si="8"/>
        <v>0</v>
      </c>
      <c r="O39" s="87">
        <f t="shared" si="8"/>
        <v>0</v>
      </c>
      <c r="P39" s="87">
        <f t="shared" si="8"/>
        <v>0</v>
      </c>
      <c r="Q39" s="87">
        <f t="shared" si="8"/>
        <v>0</v>
      </c>
      <c r="R39" s="87">
        <f>CAPA!D10</f>
        <v>0</v>
      </c>
      <c r="S39" s="87">
        <f>CAPA!D10</f>
        <v>0</v>
      </c>
      <c r="T39" s="88"/>
      <c r="U39" s="213"/>
    </row>
    <row r="40" spans="1:21" s="16" customFormat="1" ht="13.2" customHeight="1" x14ac:dyDescent="0.25">
      <c r="A40" s="305"/>
      <c r="B40" s="49" t="s">
        <v>157</v>
      </c>
      <c r="C40" s="60"/>
      <c r="D40" s="60"/>
      <c r="E40" s="60"/>
      <c r="F40" s="89">
        <f>R39</f>
        <v>0</v>
      </c>
      <c r="G40" s="60"/>
      <c r="H40" s="60"/>
      <c r="I40" s="60"/>
      <c r="J40" s="60"/>
      <c r="K40" s="60"/>
      <c r="L40" s="60" t="s">
        <v>158</v>
      </c>
      <c r="M40" s="60"/>
      <c r="N40" s="60"/>
      <c r="O40" s="60"/>
      <c r="P40" s="60"/>
      <c r="Q40" s="89">
        <f>S39</f>
        <v>0</v>
      </c>
      <c r="R40" s="60"/>
      <c r="S40" s="60"/>
      <c r="T40" s="50"/>
      <c r="U40" s="215"/>
    </row>
    <row r="41" spans="1:21" ht="13.2" customHeight="1" thickBot="1" x14ac:dyDescent="0.3">
      <c r="A41" s="304" t="s">
        <v>159</v>
      </c>
      <c r="B41" s="218"/>
      <c r="C41" s="219"/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300"/>
    </row>
    <row r="42" spans="1:21" ht="10.8" customHeight="1" thickTop="1" x14ac:dyDescent="0.25"/>
  </sheetData>
  <mergeCells count="26">
    <mergeCell ref="B2:T2"/>
    <mergeCell ref="C13:C14"/>
    <mergeCell ref="B7:J7"/>
    <mergeCell ref="H12:L12"/>
    <mergeCell ref="B1:T1"/>
    <mergeCell ref="I13:J13"/>
    <mergeCell ref="K13:L13"/>
    <mergeCell ref="P5:T5"/>
    <mergeCell ref="C11:L11"/>
    <mergeCell ref="B3:T3"/>
    <mergeCell ref="M7:T7"/>
    <mergeCell ref="H13:H14"/>
    <mergeCell ref="M12:Q12"/>
    <mergeCell ref="C12:G12"/>
    <mergeCell ref="B12:B14"/>
    <mergeCell ref="P13:Q13"/>
    <mergeCell ref="F13:G13"/>
    <mergeCell ref="N13:O13"/>
    <mergeCell ref="B4:O4"/>
    <mergeCell ref="T11:T15"/>
    <mergeCell ref="D5:O6"/>
    <mergeCell ref="R11:S13"/>
    <mergeCell ref="M13:M14"/>
    <mergeCell ref="D13:E13"/>
    <mergeCell ref="M11:Q11"/>
    <mergeCell ref="B5:C6"/>
  </mergeCells>
  <printOptions horizontalCentered="1" verticalCentered="1"/>
  <pageMargins left="0.59055118110236227" right="0.59055118110236227" top="0.59055118110236227" bottom="0.59055118110236227" header="0" footer="0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T22"/>
  <sheetViews>
    <sheetView showZeros="0" workbookViewId="0">
      <selection activeCell="J14" sqref="J14:J15"/>
    </sheetView>
  </sheetViews>
  <sheetFormatPr defaultColWidth="1.6640625" defaultRowHeight="10.199999999999999" x14ac:dyDescent="0.25"/>
  <cols>
    <col min="1" max="1" width="1.6640625" style="33" customWidth="1"/>
    <col min="2" max="2" width="7.6640625" style="33" customWidth="1"/>
    <col min="3" max="3" width="8.44140625" style="33" customWidth="1"/>
    <col min="4" max="4" width="8.88671875" style="33" customWidth="1"/>
    <col min="5" max="5" width="7.88671875" style="33" customWidth="1"/>
    <col min="6" max="6" width="8" style="33" customWidth="1"/>
    <col min="7" max="7" width="9.6640625" style="33" customWidth="1"/>
    <col min="8" max="10" width="7" style="33" customWidth="1"/>
    <col min="11" max="11" width="6.109375" style="33" customWidth="1"/>
    <col min="12" max="12" width="7" style="33" customWidth="1"/>
    <col min="13" max="13" width="8.88671875" style="33" customWidth="1"/>
    <col min="14" max="14" width="9.109375" style="33" customWidth="1"/>
    <col min="15" max="17" width="7" style="33" customWidth="1"/>
    <col min="18" max="18" width="5.44140625" style="33" customWidth="1"/>
    <col min="19" max="19" width="9.33203125" style="33" customWidth="1"/>
    <col min="20" max="20" width="8.33203125" style="33" customWidth="1"/>
    <col min="21" max="21" width="9.33203125" style="33" customWidth="1"/>
    <col min="22" max="22" width="6.109375" style="33" customWidth="1"/>
    <col min="23" max="23" width="1.21875" style="33" customWidth="1"/>
    <col min="24" max="24" width="1.6640625" style="33" customWidth="1"/>
    <col min="25" max="16384" width="1.6640625" style="33"/>
  </cols>
  <sheetData>
    <row r="1" spans="1:23" ht="10.199999999999999" customHeight="1" thickTop="1" x14ac:dyDescent="0.25">
      <c r="A1" s="223"/>
      <c r="B1" s="441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224"/>
    </row>
    <row r="2" spans="1:23" s="1" customFormat="1" ht="13.2" customHeight="1" x14ac:dyDescent="0.25">
      <c r="A2" s="200"/>
      <c r="B2" s="354" t="s">
        <v>0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8"/>
      <c r="W2" s="202"/>
    </row>
    <row r="3" spans="1:23" s="1" customFormat="1" ht="13.2" customHeight="1" x14ac:dyDescent="0.25">
      <c r="A3" s="200"/>
      <c r="B3" s="346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1"/>
      <c r="W3" s="202"/>
    </row>
    <row r="4" spans="1:23" s="1" customFormat="1" ht="13.2" customHeight="1" x14ac:dyDescent="0.25">
      <c r="A4" s="200"/>
      <c r="B4" s="360" t="s">
        <v>160</v>
      </c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34"/>
      <c r="R4" s="259" t="s">
        <v>58</v>
      </c>
      <c r="S4" s="259"/>
      <c r="T4" s="263">
        <f>('QUADRO I'!R4)+1</f>
        <v>3</v>
      </c>
      <c r="U4" s="264"/>
      <c r="V4" s="297"/>
      <c r="W4" s="202"/>
    </row>
    <row r="5" spans="1:23" s="1" customFormat="1" ht="13.2" customHeight="1" x14ac:dyDescent="0.25">
      <c r="A5" s="200"/>
      <c r="B5" s="442" t="s">
        <v>132</v>
      </c>
      <c r="C5" s="337"/>
      <c r="D5" s="427" t="str">
        <f>('QUADRO I'!$D$5)</f>
        <v>{RUA}, {COMPLEMENTO}; {SETOR} - {CIDADE}</v>
      </c>
      <c r="E5" s="337"/>
      <c r="F5" s="337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8"/>
      <c r="R5" s="362" t="s">
        <v>5</v>
      </c>
      <c r="S5" s="344"/>
      <c r="T5" s="344"/>
      <c r="U5" s="344"/>
      <c r="V5" s="334"/>
      <c r="W5" s="202"/>
    </row>
    <row r="6" spans="1:23" ht="13.2" customHeight="1" x14ac:dyDescent="0.25">
      <c r="A6" s="225"/>
      <c r="B6" s="339"/>
      <c r="C6" s="340"/>
      <c r="D6" s="340"/>
      <c r="E6" s="340"/>
      <c r="F6" s="340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1"/>
      <c r="R6" s="49" t="s">
        <v>6</v>
      </c>
      <c r="S6" s="49"/>
      <c r="T6" s="84">
        <f>('QUADRO I'!$R$6)</f>
        <v>10</v>
      </c>
      <c r="U6" s="81"/>
      <c r="V6" s="298"/>
      <c r="W6" s="226"/>
    </row>
    <row r="7" spans="1:23" ht="13.2" customHeight="1" x14ac:dyDescent="0.25">
      <c r="A7" s="225"/>
      <c r="B7" s="449" t="s">
        <v>7</v>
      </c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34"/>
      <c r="N7" s="449" t="s">
        <v>8</v>
      </c>
      <c r="O7" s="344"/>
      <c r="P7" s="344"/>
      <c r="Q7" s="344"/>
      <c r="R7" s="344"/>
      <c r="S7" s="344"/>
      <c r="T7" s="344"/>
      <c r="U7" s="344"/>
      <c r="V7" s="334"/>
      <c r="W7" s="226"/>
    </row>
    <row r="8" spans="1:23" ht="13.2" customHeight="1" x14ac:dyDescent="0.25">
      <c r="A8" s="225"/>
      <c r="B8" s="79" t="s">
        <v>9</v>
      </c>
      <c r="C8" s="312" t="str">
        <f>('QUADRO I'!$C$8)</f>
        <v>{IMCORPORADOR}</v>
      </c>
      <c r="D8" s="51"/>
      <c r="E8" s="51"/>
      <c r="F8" s="51"/>
      <c r="G8" s="51"/>
      <c r="H8" s="51"/>
      <c r="I8" s="51"/>
      <c r="J8" s="51"/>
      <c r="K8" s="80"/>
      <c r="L8" s="102"/>
      <c r="M8" s="52"/>
      <c r="N8" s="79" t="s">
        <v>9</v>
      </c>
      <c r="O8" s="312" t="str">
        <f>('QUADRO I'!$N$8)</f>
        <v>{RESPONSÁVEL TÉCNICO}</v>
      </c>
      <c r="P8" s="51"/>
      <c r="Q8" s="51"/>
      <c r="R8" s="51"/>
      <c r="S8" s="51"/>
      <c r="T8" s="51"/>
      <c r="U8" s="51"/>
      <c r="V8" s="52"/>
      <c r="W8" s="226"/>
    </row>
    <row r="9" spans="1:23" ht="13.2" customHeight="1" x14ac:dyDescent="0.25">
      <c r="A9" s="225"/>
      <c r="B9" s="9" t="s">
        <v>10</v>
      </c>
      <c r="K9" s="36"/>
      <c r="M9" s="35"/>
      <c r="N9" s="9" t="s">
        <v>10</v>
      </c>
      <c r="V9" s="35"/>
      <c r="W9" s="226"/>
    </row>
    <row r="10" spans="1:23" ht="13.2" customHeight="1" x14ac:dyDescent="0.25">
      <c r="A10" s="225"/>
      <c r="B10" s="5" t="s">
        <v>11</v>
      </c>
      <c r="C10" s="43" t="str">
        <f>('QUADRO I'!$C$10)</f>
        <v>{DATA HOJE}</v>
      </c>
      <c r="D10" s="32"/>
      <c r="E10" s="32"/>
      <c r="F10" s="32"/>
      <c r="G10" s="32"/>
      <c r="H10" s="32"/>
      <c r="I10" s="32"/>
      <c r="J10" s="32"/>
      <c r="K10" s="37"/>
      <c r="L10" s="43"/>
      <c r="M10" s="68"/>
      <c r="N10" s="5" t="s">
        <v>11</v>
      </c>
      <c r="O10" s="71" t="str">
        <f>('QUADRO I'!$N$10)</f>
        <v>{DATA HOJE}</v>
      </c>
      <c r="P10" s="32"/>
      <c r="Q10" s="32"/>
      <c r="R10" s="32"/>
      <c r="S10" s="66" t="str">
        <f>('QUADRO I'!$Q$10)</f>
        <v>Registro no CREA:</v>
      </c>
      <c r="T10" s="40"/>
      <c r="U10" s="69" t="str">
        <f>('QUADRO I'!$S$10)</f>
        <v>{CREA}</v>
      </c>
      <c r="V10" s="68"/>
      <c r="W10" s="226"/>
    </row>
    <row r="11" spans="1:23" s="36" customFormat="1" ht="13.2" customHeight="1" x14ac:dyDescent="0.25">
      <c r="A11" s="296"/>
      <c r="B11" s="440" t="s">
        <v>161</v>
      </c>
      <c r="C11" s="443" t="s">
        <v>135</v>
      </c>
      <c r="D11" s="344"/>
      <c r="E11" s="344"/>
      <c r="F11" s="344"/>
      <c r="G11" s="344"/>
      <c r="H11" s="344"/>
      <c r="I11" s="344"/>
      <c r="J11" s="344"/>
      <c r="K11" s="344"/>
      <c r="L11" s="344"/>
      <c r="M11" s="334"/>
      <c r="N11" s="444" t="s">
        <v>162</v>
      </c>
      <c r="O11" s="447" t="s">
        <v>136</v>
      </c>
      <c r="P11" s="344"/>
      <c r="Q11" s="344"/>
      <c r="R11" s="344"/>
      <c r="S11" s="334"/>
      <c r="T11" s="448" t="s">
        <v>163</v>
      </c>
      <c r="U11" s="338"/>
      <c r="V11" s="445" t="s">
        <v>164</v>
      </c>
      <c r="W11" s="227"/>
    </row>
    <row r="12" spans="1:23" s="36" customFormat="1" ht="13.2" customHeight="1" x14ac:dyDescent="0.25">
      <c r="A12" s="296"/>
      <c r="B12" s="425"/>
      <c r="C12" s="443" t="s">
        <v>140</v>
      </c>
      <c r="D12" s="344"/>
      <c r="E12" s="344"/>
      <c r="F12" s="344"/>
      <c r="G12" s="334"/>
      <c r="H12" s="447" t="s">
        <v>141</v>
      </c>
      <c r="I12" s="344"/>
      <c r="J12" s="344"/>
      <c r="K12" s="344"/>
      <c r="L12" s="334"/>
      <c r="M12" s="444" t="s">
        <v>165</v>
      </c>
      <c r="N12" s="425"/>
      <c r="O12" s="447" t="s">
        <v>142</v>
      </c>
      <c r="P12" s="344"/>
      <c r="Q12" s="344"/>
      <c r="R12" s="344"/>
      <c r="S12" s="334"/>
      <c r="T12" s="429"/>
      <c r="U12" s="409"/>
      <c r="V12" s="425"/>
      <c r="W12" s="227"/>
    </row>
    <row r="13" spans="1:23" s="36" customFormat="1" ht="30" customHeight="1" x14ac:dyDescent="0.25">
      <c r="A13" s="296"/>
      <c r="B13" s="425"/>
      <c r="C13" s="428" t="s">
        <v>166</v>
      </c>
      <c r="D13" s="428" t="s">
        <v>144</v>
      </c>
      <c r="E13" s="334"/>
      <c r="F13" s="446" t="s">
        <v>145</v>
      </c>
      <c r="G13" s="338"/>
      <c r="H13" s="428" t="s">
        <v>166</v>
      </c>
      <c r="I13" s="428" t="s">
        <v>144</v>
      </c>
      <c r="J13" s="334"/>
      <c r="K13" s="446" t="s">
        <v>145</v>
      </c>
      <c r="L13" s="338"/>
      <c r="M13" s="425"/>
      <c r="N13" s="425"/>
      <c r="O13" s="428" t="s">
        <v>167</v>
      </c>
      <c r="P13" s="428" t="s">
        <v>144</v>
      </c>
      <c r="Q13" s="334"/>
      <c r="R13" s="440" t="s">
        <v>145</v>
      </c>
      <c r="S13" s="334"/>
      <c r="T13" s="339"/>
      <c r="U13" s="341"/>
      <c r="V13" s="425"/>
      <c r="W13" s="227"/>
    </row>
    <row r="14" spans="1:23" s="36" customFormat="1" ht="49.95" customHeight="1" x14ac:dyDescent="0.25">
      <c r="A14" s="296"/>
      <c r="B14" s="425"/>
      <c r="C14" s="425"/>
      <c r="D14" s="440" t="s">
        <v>146</v>
      </c>
      <c r="E14" s="428" t="s">
        <v>168</v>
      </c>
      <c r="F14" s="428" t="s">
        <v>169</v>
      </c>
      <c r="G14" s="428" t="s">
        <v>170</v>
      </c>
      <c r="H14" s="425"/>
      <c r="I14" s="440" t="s">
        <v>146</v>
      </c>
      <c r="J14" s="428" t="s">
        <v>168</v>
      </c>
      <c r="K14" s="428" t="s">
        <v>171</v>
      </c>
      <c r="L14" s="428" t="s">
        <v>172</v>
      </c>
      <c r="M14" s="425"/>
      <c r="N14" s="426"/>
      <c r="O14" s="426"/>
      <c r="P14" s="159" t="s">
        <v>173</v>
      </c>
      <c r="Q14" s="159" t="s">
        <v>168</v>
      </c>
      <c r="R14" s="428" t="s">
        <v>174</v>
      </c>
      <c r="S14" s="428" t="s">
        <v>175</v>
      </c>
      <c r="T14" s="428" t="s">
        <v>176</v>
      </c>
      <c r="U14" s="428" t="s">
        <v>177</v>
      </c>
      <c r="V14" s="425"/>
      <c r="W14" s="227"/>
    </row>
    <row r="15" spans="1:23" s="36" customFormat="1" ht="13.2" customHeight="1" x14ac:dyDescent="0.25">
      <c r="A15" s="296"/>
      <c r="B15" s="426"/>
      <c r="C15" s="426"/>
      <c r="D15" s="426"/>
      <c r="E15" s="426"/>
      <c r="F15" s="426"/>
      <c r="G15" s="426"/>
      <c r="H15" s="426"/>
      <c r="I15" s="426"/>
      <c r="J15" s="426"/>
      <c r="K15" s="426"/>
      <c r="L15" s="426"/>
      <c r="M15" s="426"/>
      <c r="N15" s="150" t="s">
        <v>178</v>
      </c>
      <c r="O15" s="151" t="s">
        <v>179</v>
      </c>
      <c r="P15" s="151" t="s">
        <v>180</v>
      </c>
      <c r="Q15" s="151" t="s">
        <v>181</v>
      </c>
      <c r="R15" s="426"/>
      <c r="S15" s="426"/>
      <c r="T15" s="426"/>
      <c r="U15" s="426"/>
      <c r="V15" s="425"/>
      <c r="W15" s="227"/>
    </row>
    <row r="16" spans="1:23" s="36" customFormat="1" ht="13.2" customHeight="1" x14ac:dyDescent="0.25">
      <c r="A16" s="296"/>
      <c r="B16" s="38">
        <v>19</v>
      </c>
      <c r="C16" s="38">
        <v>20</v>
      </c>
      <c r="D16" s="38">
        <v>21</v>
      </c>
      <c r="E16" s="38">
        <v>22</v>
      </c>
      <c r="F16" s="38">
        <v>23</v>
      </c>
      <c r="G16" s="38">
        <v>24</v>
      </c>
      <c r="H16" s="38">
        <v>25</v>
      </c>
      <c r="I16" s="38">
        <v>26</v>
      </c>
      <c r="J16" s="38">
        <v>27</v>
      </c>
      <c r="K16" s="38">
        <v>28</v>
      </c>
      <c r="L16" s="38">
        <v>29</v>
      </c>
      <c r="M16" s="38">
        <v>30</v>
      </c>
      <c r="N16" s="38">
        <v>31</v>
      </c>
      <c r="O16" s="15">
        <v>32</v>
      </c>
      <c r="P16" s="15">
        <v>33</v>
      </c>
      <c r="Q16" s="15">
        <v>34</v>
      </c>
      <c r="R16" s="15">
        <v>35</v>
      </c>
      <c r="S16" s="38">
        <v>36</v>
      </c>
      <c r="T16" s="38">
        <v>37</v>
      </c>
      <c r="U16" s="38">
        <v>38</v>
      </c>
      <c r="V16" s="426"/>
      <c r="W16" s="227"/>
    </row>
    <row r="17" spans="1:98" s="36" customFormat="1" ht="13.2" customHeight="1" x14ac:dyDescent="0.25">
      <c r="A17" s="296"/>
      <c r="B17" s="222" t="s">
        <v>182</v>
      </c>
      <c r="C17" s="86" t="str">
        <f>CAPA!D9</f>
        <v>({ÁREA CONSTRUÍDA PRIVATIVA}+{ÁREA CONSTRUÍDA COMUM})</v>
      </c>
      <c r="D17" s="86" t="str">
        <f>CAPA!E9</f>
        <v>({ÁREA DESCOBERTA PRIVATIVA}+{ÁREA DESCOBERTA COMUM})</v>
      </c>
      <c r="E17" s="86"/>
      <c r="F17" s="90" t="e">
        <f>SUM(C17+D17)</f>
        <v>#VALUE!</v>
      </c>
      <c r="G17" s="90" t="e">
        <f>SUM(C17+E17)</f>
        <v>#VALUE!</v>
      </c>
      <c r="H17" s="90"/>
      <c r="I17" s="86"/>
      <c r="J17" s="86"/>
      <c r="K17" s="90">
        <f>SUM(H17+I17)</f>
        <v>0</v>
      </c>
      <c r="L17" s="90">
        <f>SUM(H17+J17)</f>
        <v>0</v>
      </c>
      <c r="M17" s="90" t="e">
        <f>SUM(G17+L17)</f>
        <v>#VALUE!</v>
      </c>
      <c r="N17" s="320" t="e">
        <f>CAPA!H9</f>
        <v>#DIV/0!</v>
      </c>
      <c r="O17" s="86" t="e">
        <f>ROUND('QUADRO II'!N17*'QUADRO I'!$M$39,2)</f>
        <v>#DIV/0!</v>
      </c>
      <c r="P17" s="86" t="e">
        <f>ROUND('QUADRO II'!N17*'QUADRO I'!$N$39,2)</f>
        <v>#DIV/0!</v>
      </c>
      <c r="Q17" s="86" t="e">
        <f>ROUND('QUADRO II'!N17*'QUADRO I'!$O$39,2)</f>
        <v>#DIV/0!</v>
      </c>
      <c r="R17" s="86" t="e">
        <f>SUM(O17+P17)</f>
        <v>#DIV/0!</v>
      </c>
      <c r="S17" s="90" t="e">
        <f>SUM(O17+Q17)</f>
        <v>#DIV/0!</v>
      </c>
      <c r="T17" s="90" t="e">
        <f>SUM(F17+K17+R17)</f>
        <v>#VALUE!</v>
      </c>
      <c r="U17" s="90" t="e">
        <f>SUM(M17+S17)</f>
        <v>#VALUE!</v>
      </c>
      <c r="V17" s="90">
        <v>1</v>
      </c>
      <c r="W17" s="227"/>
    </row>
    <row r="18" spans="1:98" ht="13.2" customHeight="1" x14ac:dyDescent="0.25">
      <c r="A18" s="225"/>
      <c r="B18" s="222"/>
      <c r="C18" s="86"/>
      <c r="D18" s="86"/>
      <c r="E18" s="86"/>
      <c r="F18" s="90"/>
      <c r="G18" s="90"/>
      <c r="H18" s="90"/>
      <c r="I18" s="86"/>
      <c r="J18" s="86"/>
      <c r="K18" s="90"/>
      <c r="L18" s="90"/>
      <c r="M18" s="90"/>
      <c r="N18" s="320"/>
      <c r="O18" s="86"/>
      <c r="P18" s="86"/>
      <c r="Q18" s="86"/>
      <c r="R18" s="86"/>
      <c r="S18" s="90"/>
      <c r="T18" s="90"/>
      <c r="U18" s="90"/>
      <c r="V18" s="90"/>
      <c r="W18" s="228"/>
      <c r="X18" s="34"/>
      <c r="Y18" s="34"/>
      <c r="Z18" s="34"/>
      <c r="AA18" s="34"/>
      <c r="AB18" s="34"/>
      <c r="AC18" s="34"/>
      <c r="AD18" s="39"/>
      <c r="AE18" s="34"/>
      <c r="AF18" s="34"/>
      <c r="AG18" s="34"/>
      <c r="AH18" s="34"/>
      <c r="AI18" s="34"/>
      <c r="AJ18" s="34"/>
      <c r="AK18" s="34"/>
      <c r="AL18" s="39"/>
      <c r="AM18" s="34"/>
      <c r="AN18" s="34"/>
      <c r="AO18" s="34"/>
      <c r="AP18" s="34"/>
      <c r="AQ18" s="34"/>
      <c r="AR18" s="34"/>
      <c r="AS18" s="34"/>
      <c r="AT18" s="39"/>
      <c r="AU18" s="34"/>
      <c r="AV18" s="34"/>
      <c r="AW18" s="34"/>
      <c r="AX18" s="34"/>
      <c r="AY18" s="34"/>
      <c r="AZ18" s="34"/>
      <c r="BA18" s="34"/>
      <c r="BB18" s="39"/>
      <c r="BC18" s="34"/>
      <c r="BD18" s="34"/>
      <c r="BE18" s="34"/>
      <c r="BF18" s="34"/>
      <c r="BG18" s="34"/>
      <c r="BH18" s="34"/>
      <c r="BI18" s="34"/>
      <c r="BJ18" s="39"/>
      <c r="BK18" s="34"/>
      <c r="BL18" s="34"/>
      <c r="BM18" s="34"/>
      <c r="BN18" s="34"/>
      <c r="BO18" s="34"/>
      <c r="BP18" s="34"/>
      <c r="BQ18" s="34"/>
      <c r="BR18" s="39"/>
      <c r="BS18" s="34"/>
      <c r="BT18" s="34"/>
      <c r="BU18" s="34"/>
      <c r="BV18" s="34"/>
      <c r="BW18" s="34"/>
      <c r="BX18" s="34"/>
      <c r="BY18" s="34"/>
      <c r="BZ18" s="39"/>
      <c r="CA18" s="34"/>
      <c r="CB18" s="34"/>
      <c r="CC18" s="34"/>
      <c r="CD18" s="34"/>
      <c r="CE18" s="34"/>
      <c r="CF18" s="34"/>
      <c r="CG18" s="34"/>
      <c r="CH18" s="39"/>
      <c r="CI18" s="34"/>
      <c r="CJ18" s="34"/>
      <c r="CK18" s="34"/>
      <c r="CL18" s="34"/>
      <c r="CM18" s="34"/>
      <c r="CN18" s="34"/>
      <c r="CO18" s="34"/>
      <c r="CP18" s="39"/>
      <c r="CQ18" s="34"/>
      <c r="CR18" s="34"/>
      <c r="CS18" s="34"/>
      <c r="CT18" s="34"/>
    </row>
    <row r="19" spans="1:98" ht="13.2" customHeight="1" x14ac:dyDescent="0.25">
      <c r="A19" s="225"/>
      <c r="B19" s="38" t="s">
        <v>145</v>
      </c>
      <c r="C19" s="91">
        <f t="shared" ref="C19:U19" si="0">SUMPRODUCT(C17:C18,$V17:$V18)</f>
        <v>0</v>
      </c>
      <c r="D19" s="91">
        <f t="shared" si="0"/>
        <v>0</v>
      </c>
      <c r="E19" s="91">
        <f t="shared" si="0"/>
        <v>0</v>
      </c>
      <c r="F19" s="91" t="e">
        <f t="shared" si="0"/>
        <v>#VALUE!</v>
      </c>
      <c r="G19" s="91" t="e">
        <f t="shared" si="0"/>
        <v>#VALUE!</v>
      </c>
      <c r="H19" s="91">
        <f t="shared" si="0"/>
        <v>0</v>
      </c>
      <c r="I19" s="91">
        <f t="shared" si="0"/>
        <v>0</v>
      </c>
      <c r="J19" s="91">
        <f t="shared" si="0"/>
        <v>0</v>
      </c>
      <c r="K19" s="91">
        <f t="shared" si="0"/>
        <v>0</v>
      </c>
      <c r="L19" s="91">
        <f t="shared" si="0"/>
        <v>0</v>
      </c>
      <c r="M19" s="91" t="e">
        <f t="shared" si="0"/>
        <v>#VALUE!</v>
      </c>
      <c r="N19" s="316" t="e">
        <f t="shared" si="0"/>
        <v>#DIV/0!</v>
      </c>
      <c r="O19" s="91" t="e">
        <f t="shared" si="0"/>
        <v>#DIV/0!</v>
      </c>
      <c r="P19" s="91" t="e">
        <f t="shared" si="0"/>
        <v>#DIV/0!</v>
      </c>
      <c r="Q19" s="91" t="e">
        <f t="shared" si="0"/>
        <v>#DIV/0!</v>
      </c>
      <c r="R19" s="91" t="e">
        <f t="shared" si="0"/>
        <v>#DIV/0!</v>
      </c>
      <c r="S19" s="91" t="e">
        <f t="shared" si="0"/>
        <v>#DIV/0!</v>
      </c>
      <c r="T19" s="91" t="e">
        <f t="shared" si="0"/>
        <v>#VALUE!</v>
      </c>
      <c r="U19" s="91" t="e">
        <f t="shared" si="0"/>
        <v>#VALUE!</v>
      </c>
      <c r="V19" s="91">
        <f>SUM(V17:V18)</f>
        <v>1</v>
      </c>
      <c r="W19" s="226"/>
    </row>
    <row r="20" spans="1:98" s="36" customFormat="1" ht="13.2" customHeight="1" x14ac:dyDescent="0.25">
      <c r="A20" s="229"/>
      <c r="B20" s="299" t="s">
        <v>183</v>
      </c>
      <c r="C20" s="92"/>
      <c r="D20" s="92"/>
      <c r="E20" s="92"/>
      <c r="F20" s="92"/>
      <c r="G20" s="92" t="e">
        <f>T19</f>
        <v>#VALUE!</v>
      </c>
      <c r="H20" s="133"/>
      <c r="I20" s="134"/>
      <c r="J20" s="92"/>
      <c r="K20" s="92"/>
      <c r="L20" s="92"/>
      <c r="M20" s="134" t="s">
        <v>184</v>
      </c>
      <c r="N20" s="37"/>
      <c r="O20" s="92"/>
      <c r="P20" s="133"/>
      <c r="Q20" s="92"/>
      <c r="R20" s="92"/>
      <c r="S20" s="92" t="e">
        <f>U19</f>
        <v>#VALUE!</v>
      </c>
      <c r="T20" s="92"/>
      <c r="U20" s="92"/>
      <c r="V20" s="135"/>
      <c r="W20" s="227"/>
    </row>
    <row r="21" spans="1:98" ht="13.2" customHeight="1" thickBot="1" x14ac:dyDescent="0.3">
      <c r="A21" s="230" t="s">
        <v>159</v>
      </c>
      <c r="B21" s="231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3"/>
    </row>
    <row r="22" spans="1:98" ht="10.8" customHeight="1" thickTop="1" x14ac:dyDescent="0.25"/>
  </sheetData>
  <mergeCells count="40">
    <mergeCell ref="O11:S11"/>
    <mergeCell ref="B11:B15"/>
    <mergeCell ref="B3:V3"/>
    <mergeCell ref="I13:J13"/>
    <mergeCell ref="N11:N14"/>
    <mergeCell ref="K13:L13"/>
    <mergeCell ref="R5:V5"/>
    <mergeCell ref="E14:E15"/>
    <mergeCell ref="B1:V1"/>
    <mergeCell ref="C13:C15"/>
    <mergeCell ref="L14:L15"/>
    <mergeCell ref="D13:E13"/>
    <mergeCell ref="B5:C6"/>
    <mergeCell ref="B4:Q4"/>
    <mergeCell ref="D5:Q6"/>
    <mergeCell ref="G14:G15"/>
    <mergeCell ref="I14:I15"/>
    <mergeCell ref="K14:K15"/>
    <mergeCell ref="C12:G12"/>
    <mergeCell ref="M12:M15"/>
    <mergeCell ref="U14:U15"/>
    <mergeCell ref="C11:M11"/>
    <mergeCell ref="V11:V16"/>
    <mergeCell ref="F13:G13"/>
    <mergeCell ref="B2:V2"/>
    <mergeCell ref="S14:S15"/>
    <mergeCell ref="T14:T15"/>
    <mergeCell ref="R13:S13"/>
    <mergeCell ref="H13:H15"/>
    <mergeCell ref="P13:Q13"/>
    <mergeCell ref="D14:D15"/>
    <mergeCell ref="F14:F15"/>
    <mergeCell ref="O12:S12"/>
    <mergeCell ref="T11:U13"/>
    <mergeCell ref="N7:V7"/>
    <mergeCell ref="J14:J15"/>
    <mergeCell ref="B7:M7"/>
    <mergeCell ref="H12:L12"/>
    <mergeCell ref="R14:R15"/>
    <mergeCell ref="O13:O14"/>
  </mergeCells>
  <printOptions horizontalCentered="1" verticalCentered="1"/>
  <pageMargins left="0.59055118110236227" right="0.59055118110236227" top="0.59055118110236227" bottom="0.59055118110236227" header="0" footer="0"/>
  <pageSetup paperSize="9" scale="5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69"/>
  <sheetViews>
    <sheetView showZeros="0" topLeftCell="A6" workbookViewId="0">
      <selection activeCell="R24" sqref="R24"/>
    </sheetView>
  </sheetViews>
  <sheetFormatPr defaultColWidth="1.6640625" defaultRowHeight="10.199999999999999" x14ac:dyDescent="0.25"/>
  <cols>
    <col min="1" max="1" width="1.6640625" style="1" customWidth="1"/>
    <col min="2" max="2" width="3.6640625" style="1" customWidth="1"/>
    <col min="3" max="7" width="10.6640625" style="1" customWidth="1"/>
    <col min="8" max="8" width="10.33203125" style="1" customWidth="1"/>
    <col min="9" max="9" width="2.6640625" style="1" customWidth="1"/>
    <col min="10" max="10" width="10.6640625" style="1" customWidth="1"/>
    <col min="11" max="11" width="2.6640625" style="1" customWidth="1"/>
    <col min="12" max="12" width="11" style="1" customWidth="1"/>
    <col min="13" max="13" width="3.6640625" style="1" customWidth="1"/>
    <col min="14" max="15" width="1.6640625" style="1" customWidth="1"/>
    <col min="16" max="16" width="8.6640625" style="1" customWidth="1"/>
    <col min="17" max="17" width="1.6640625" style="1" customWidth="1"/>
    <col min="18" max="18" width="6.109375" style="1" customWidth="1"/>
    <col min="19" max="19" width="1.6640625" style="1" customWidth="1"/>
    <col min="20" max="16384" width="1.6640625" style="1"/>
  </cols>
  <sheetData>
    <row r="1" spans="1:14" ht="5.25" customHeight="1" thickTop="1" x14ac:dyDescent="0.25">
      <c r="A1" s="198"/>
      <c r="B1" s="355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199"/>
    </row>
    <row r="2" spans="1:14" s="10" customFormat="1" ht="12" customHeight="1" x14ac:dyDescent="0.25">
      <c r="A2" s="249"/>
      <c r="B2" s="354" t="s">
        <v>185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8"/>
      <c r="N2" s="201"/>
    </row>
    <row r="3" spans="1:14" s="10" customFormat="1" ht="12" customHeight="1" x14ac:dyDescent="0.25">
      <c r="A3" s="249"/>
      <c r="B3" s="346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1"/>
      <c r="N3" s="201"/>
    </row>
    <row r="4" spans="1:14" s="10" customFormat="1" ht="12" customHeight="1" x14ac:dyDescent="0.25">
      <c r="A4" s="249"/>
      <c r="B4" s="360" t="s">
        <v>186</v>
      </c>
      <c r="C4" s="344"/>
      <c r="D4" s="344"/>
      <c r="E4" s="344"/>
      <c r="F4" s="344"/>
      <c r="G4" s="344"/>
      <c r="H4" s="334"/>
      <c r="I4" s="460" t="s">
        <v>5</v>
      </c>
      <c r="J4" s="344"/>
      <c r="K4" s="344"/>
      <c r="L4" s="344"/>
      <c r="M4" s="334"/>
      <c r="N4" s="201"/>
    </row>
    <row r="5" spans="1:14" s="10" customFormat="1" ht="12" customHeight="1" x14ac:dyDescent="0.25">
      <c r="A5" s="249"/>
      <c r="B5" s="442" t="s">
        <v>187</v>
      </c>
      <c r="C5" s="337"/>
      <c r="D5" s="427" t="str">
        <f>('QUADRO I'!$D$5)</f>
        <v>{RUA}, {COMPLEMENTO}; {SETOR} - {CIDADE}</v>
      </c>
      <c r="E5" s="337"/>
      <c r="F5" s="337"/>
      <c r="G5" s="337"/>
      <c r="H5" s="338"/>
      <c r="I5" s="136" t="s">
        <v>6</v>
      </c>
      <c r="J5" s="160"/>
      <c r="K5" s="157"/>
      <c r="L5" s="82">
        <f>('QUADRO I'!$R$6)</f>
        <v>10</v>
      </c>
      <c r="M5" s="158"/>
      <c r="N5" s="201"/>
    </row>
    <row r="6" spans="1:14" s="10" customFormat="1" ht="12" customHeight="1" x14ac:dyDescent="0.25">
      <c r="A6" s="249"/>
      <c r="B6" s="339"/>
      <c r="C6" s="340"/>
      <c r="D6" s="340"/>
      <c r="E6" s="340"/>
      <c r="F6" s="340"/>
      <c r="G6" s="340"/>
      <c r="H6" s="341"/>
      <c r="I6" s="451" t="s">
        <v>3</v>
      </c>
      <c r="J6" s="334"/>
      <c r="K6" s="156"/>
      <c r="L6" s="148">
        <f>('QUADRO II'!T4)+1</f>
        <v>4</v>
      </c>
      <c r="M6" s="293"/>
      <c r="N6" s="201"/>
    </row>
    <row r="7" spans="1:14" s="10" customFormat="1" ht="12" customHeight="1" x14ac:dyDescent="0.25">
      <c r="A7" s="249"/>
      <c r="B7" s="259"/>
      <c r="C7" s="453" t="s">
        <v>7</v>
      </c>
      <c r="D7" s="344"/>
      <c r="E7" s="344"/>
      <c r="F7" s="344"/>
      <c r="G7" s="360" t="s">
        <v>8</v>
      </c>
      <c r="H7" s="344"/>
      <c r="I7" s="344"/>
      <c r="J7" s="344"/>
      <c r="K7" s="344"/>
      <c r="L7" s="344"/>
      <c r="M7" s="334"/>
      <c r="N7" s="201"/>
    </row>
    <row r="8" spans="1:14" s="10" customFormat="1" ht="12" customHeight="1" x14ac:dyDescent="0.25">
      <c r="A8" s="249"/>
      <c r="B8" s="79" t="s">
        <v>9</v>
      </c>
      <c r="C8" s="76"/>
      <c r="D8" s="456" t="str">
        <f>('QUADRO I'!$C$8)</f>
        <v>{IMCORPORADOR}</v>
      </c>
      <c r="E8" s="337"/>
      <c r="F8" s="338"/>
      <c r="G8" s="79" t="s">
        <v>9</v>
      </c>
      <c r="H8" s="458" t="str">
        <f>('QUADRO I'!$N$8)</f>
        <v>{RESPONSÁVEL TÉCNICO}</v>
      </c>
      <c r="I8" s="337"/>
      <c r="J8" s="337"/>
      <c r="K8" s="337"/>
      <c r="L8" s="337"/>
      <c r="M8" s="338"/>
      <c r="N8" s="201"/>
    </row>
    <row r="9" spans="1:14" s="10" customFormat="1" ht="12" customHeight="1" x14ac:dyDescent="0.25">
      <c r="A9" s="249"/>
      <c r="B9" s="9" t="s">
        <v>10</v>
      </c>
      <c r="C9" s="6"/>
      <c r="D9" s="454"/>
      <c r="E9" s="455"/>
      <c r="F9" s="409"/>
      <c r="G9" s="9" t="s">
        <v>10</v>
      </c>
      <c r="H9" s="462"/>
      <c r="I9" s="455"/>
      <c r="J9" s="455"/>
      <c r="K9" s="455"/>
      <c r="L9" s="455"/>
      <c r="M9" s="409"/>
      <c r="N9" s="201"/>
    </row>
    <row r="10" spans="1:14" s="10" customFormat="1" ht="12" customHeight="1" x14ac:dyDescent="0.25">
      <c r="A10" s="249"/>
      <c r="B10" s="5" t="s">
        <v>11</v>
      </c>
      <c r="C10" s="8"/>
      <c r="D10" s="459" t="str">
        <f>('QUADRO I'!$C$10)</f>
        <v>{DATA HOJE}</v>
      </c>
      <c r="E10" s="340"/>
      <c r="F10" s="341"/>
      <c r="G10" s="5" t="s">
        <v>11</v>
      </c>
      <c r="H10" s="165" t="str">
        <f>('QUADRO I'!$N$10)</f>
        <v>{DATA HOJE}</v>
      </c>
      <c r="I10" s="345" t="str">
        <f>('QUADRO I'!$Q$10)</f>
        <v>Registro no CREA:</v>
      </c>
      <c r="J10" s="340"/>
      <c r="K10" s="340"/>
      <c r="L10" s="67" t="str">
        <f>('QUADRO I'!$S$10)</f>
        <v>{CREA}</v>
      </c>
      <c r="M10" s="65"/>
      <c r="N10" s="201"/>
    </row>
    <row r="11" spans="1:14" s="10" customFormat="1" ht="12" customHeight="1" x14ac:dyDescent="0.25">
      <c r="A11" s="249"/>
      <c r="B11" s="457" t="s">
        <v>188</v>
      </c>
      <c r="C11" s="163" t="s">
        <v>189</v>
      </c>
      <c r="D11" s="48"/>
      <c r="E11" s="48"/>
      <c r="F11" s="48"/>
      <c r="G11" s="48"/>
      <c r="H11" s="48"/>
      <c r="I11" s="48"/>
      <c r="J11" s="48"/>
      <c r="K11" s="48"/>
      <c r="L11" s="48"/>
      <c r="M11" s="294"/>
      <c r="N11" s="201"/>
    </row>
    <row r="12" spans="1:14" s="10" customFormat="1" ht="12" customHeight="1" x14ac:dyDescent="0.25">
      <c r="A12" s="249"/>
      <c r="B12" s="425"/>
      <c r="C12" s="461" t="s">
        <v>190</v>
      </c>
      <c r="D12" s="344"/>
      <c r="E12" s="344"/>
      <c r="F12" s="344"/>
      <c r="G12" s="343" t="s">
        <v>191</v>
      </c>
      <c r="H12" s="344"/>
      <c r="I12" s="344"/>
      <c r="J12" s="344"/>
      <c r="K12" s="344"/>
      <c r="L12" s="344"/>
      <c r="M12" s="334"/>
      <c r="N12" s="201"/>
    </row>
    <row r="13" spans="1:14" s="10" customFormat="1" ht="12" customHeight="1" x14ac:dyDescent="0.25">
      <c r="A13" s="249"/>
      <c r="B13" s="425"/>
      <c r="C13" s="452" t="s">
        <v>192</v>
      </c>
      <c r="D13" s="452" t="s">
        <v>193</v>
      </c>
      <c r="E13" s="452" t="s">
        <v>194</v>
      </c>
      <c r="F13" s="452" t="s">
        <v>195</v>
      </c>
      <c r="G13" s="343" t="s">
        <v>196</v>
      </c>
      <c r="H13" s="337"/>
      <c r="I13" s="337"/>
      <c r="J13" s="337"/>
      <c r="K13" s="337"/>
      <c r="L13" s="337"/>
      <c r="M13" s="338"/>
      <c r="N13" s="201"/>
    </row>
    <row r="14" spans="1:14" s="10" customFormat="1" ht="12" customHeight="1" x14ac:dyDescent="0.25">
      <c r="A14" s="249"/>
      <c r="B14" s="425"/>
      <c r="C14" s="425"/>
      <c r="D14" s="425"/>
      <c r="E14" s="425"/>
      <c r="F14" s="425"/>
      <c r="G14" s="339"/>
      <c r="H14" s="340"/>
      <c r="I14" s="340"/>
      <c r="J14" s="340"/>
      <c r="K14" s="340"/>
      <c r="L14" s="340"/>
      <c r="M14" s="341"/>
      <c r="N14" s="201"/>
    </row>
    <row r="15" spans="1:14" s="10" customFormat="1" ht="12" customHeight="1" x14ac:dyDescent="0.25">
      <c r="A15" s="249"/>
      <c r="B15" s="425"/>
      <c r="C15" s="425"/>
      <c r="D15" s="425"/>
      <c r="E15" s="425"/>
      <c r="F15" s="425"/>
      <c r="G15" s="343" t="s">
        <v>197</v>
      </c>
      <c r="H15" s="343" t="s">
        <v>198</v>
      </c>
      <c r="I15" s="452" t="s">
        <v>199</v>
      </c>
      <c r="J15" s="338"/>
      <c r="K15" s="452" t="s">
        <v>200</v>
      </c>
      <c r="L15" s="337"/>
      <c r="M15" s="338"/>
      <c r="N15" s="201"/>
    </row>
    <row r="16" spans="1:14" s="10" customFormat="1" ht="12" customHeight="1" x14ac:dyDescent="0.25">
      <c r="A16" s="249"/>
      <c r="B16" s="425"/>
      <c r="C16" s="425"/>
      <c r="D16" s="425"/>
      <c r="E16" s="425"/>
      <c r="F16" s="425"/>
      <c r="G16" s="425"/>
      <c r="H16" s="425"/>
      <c r="I16" s="429"/>
      <c r="J16" s="409"/>
      <c r="K16" s="429"/>
      <c r="L16" s="455"/>
      <c r="M16" s="409"/>
      <c r="N16" s="201"/>
    </row>
    <row r="17" spans="1:14" s="10" customFormat="1" ht="21" customHeight="1" x14ac:dyDescent="0.25">
      <c r="A17" s="249"/>
      <c r="B17" s="425"/>
      <c r="C17" s="426"/>
      <c r="D17" s="426"/>
      <c r="E17" s="426"/>
      <c r="F17" s="426"/>
      <c r="G17" s="426"/>
      <c r="H17" s="426"/>
      <c r="I17" s="339"/>
      <c r="J17" s="341"/>
      <c r="K17" s="339"/>
      <c r="L17" s="340"/>
      <c r="M17" s="341"/>
      <c r="N17" s="201"/>
    </row>
    <row r="18" spans="1:14" ht="12" customHeight="1" x14ac:dyDescent="0.25">
      <c r="A18" s="200"/>
      <c r="B18" s="425"/>
      <c r="C18" s="450" t="s">
        <v>201</v>
      </c>
      <c r="D18" s="450" t="s">
        <v>202</v>
      </c>
      <c r="E18" s="450">
        <v>1</v>
      </c>
      <c r="F18" s="234" t="str">
        <f>CAPA!D9</f>
        <v>({ÁREA CONSTRUÍDA PRIVATIVA}+{ÁREA CONSTRUÍDA COMUM})</v>
      </c>
      <c r="G18" s="15" t="s">
        <v>203</v>
      </c>
      <c r="H18" s="15" t="s">
        <v>203</v>
      </c>
      <c r="I18" s="452" t="s">
        <v>203</v>
      </c>
      <c r="J18" s="334"/>
      <c r="K18" s="452" t="s">
        <v>203</v>
      </c>
      <c r="L18" s="344"/>
      <c r="M18" s="334"/>
      <c r="N18" s="202"/>
    </row>
    <row r="19" spans="1:14" ht="12" customHeight="1" x14ac:dyDescent="0.25">
      <c r="A19" s="200"/>
      <c r="B19" s="425"/>
      <c r="C19" s="425"/>
      <c r="D19" s="425"/>
      <c r="E19" s="425"/>
      <c r="F19" s="234"/>
      <c r="G19" s="15"/>
      <c r="H19" s="15"/>
      <c r="I19" s="452"/>
      <c r="J19" s="334"/>
      <c r="K19" s="452"/>
      <c r="L19" s="344"/>
      <c r="M19" s="334"/>
      <c r="N19" s="202"/>
    </row>
    <row r="20" spans="1:14" ht="12" customHeight="1" x14ac:dyDescent="0.25">
      <c r="A20" s="200"/>
      <c r="B20" s="425"/>
      <c r="C20" s="425"/>
      <c r="D20" s="425"/>
      <c r="E20" s="425"/>
      <c r="F20" s="234"/>
      <c r="G20" s="15"/>
      <c r="H20" s="15"/>
      <c r="I20" s="452"/>
      <c r="J20" s="334"/>
      <c r="K20" s="452"/>
      <c r="L20" s="344"/>
      <c r="M20" s="334"/>
      <c r="N20" s="202"/>
    </row>
    <row r="21" spans="1:14" ht="12" customHeight="1" x14ac:dyDescent="0.25">
      <c r="A21" s="200"/>
      <c r="B21" s="425"/>
      <c r="C21" s="425"/>
      <c r="D21" s="425"/>
      <c r="E21" s="425"/>
      <c r="F21" s="234"/>
      <c r="G21" s="15"/>
      <c r="H21" s="15"/>
      <c r="I21" s="452"/>
      <c r="J21" s="334"/>
      <c r="K21" s="452"/>
      <c r="L21" s="344"/>
      <c r="M21" s="334"/>
      <c r="N21" s="202"/>
    </row>
    <row r="22" spans="1:14" ht="12" customHeight="1" x14ac:dyDescent="0.25">
      <c r="A22" s="200"/>
      <c r="B22" s="425"/>
      <c r="C22" s="56" t="s">
        <v>204</v>
      </c>
      <c r="D22" s="47"/>
      <c r="E22" s="47"/>
      <c r="F22" s="47"/>
      <c r="G22" s="47" t="s">
        <v>205</v>
      </c>
      <c r="H22" s="161"/>
      <c r="I22" s="47"/>
      <c r="J22" s="47"/>
      <c r="K22" s="47"/>
      <c r="L22" s="235"/>
      <c r="M22" s="295"/>
      <c r="N22" s="202"/>
    </row>
    <row r="23" spans="1:14" ht="12" customHeight="1" x14ac:dyDescent="0.25">
      <c r="A23" s="200"/>
      <c r="B23" s="425"/>
      <c r="C23" s="56" t="s">
        <v>206</v>
      </c>
      <c r="D23" s="47"/>
      <c r="E23" s="47"/>
      <c r="F23" s="57"/>
      <c r="G23" s="48" t="s">
        <v>203</v>
      </c>
      <c r="H23" s="236"/>
      <c r="I23" s="47"/>
      <c r="J23" s="57" t="s">
        <v>207</v>
      </c>
      <c r="K23" s="161" t="s">
        <v>208</v>
      </c>
      <c r="L23" s="48" t="s">
        <v>203</v>
      </c>
      <c r="M23" s="295"/>
      <c r="N23" s="202"/>
    </row>
    <row r="24" spans="1:14" ht="12" customHeight="1" x14ac:dyDescent="0.25">
      <c r="A24" s="200"/>
      <c r="B24" s="425"/>
      <c r="C24" s="45" t="s">
        <v>209</v>
      </c>
      <c r="D24" s="27"/>
      <c r="E24" s="27"/>
      <c r="F24" s="27"/>
      <c r="G24" s="27"/>
      <c r="H24" s="27"/>
      <c r="I24" s="237"/>
      <c r="J24" s="237"/>
      <c r="K24" s="237"/>
      <c r="L24" s="238"/>
      <c r="M24" s="28"/>
      <c r="N24" s="202"/>
    </row>
    <row r="25" spans="1:14" ht="12" customHeight="1" x14ac:dyDescent="0.25">
      <c r="A25" s="200"/>
      <c r="B25" s="425"/>
      <c r="C25" s="239"/>
      <c r="D25" s="25" t="s">
        <v>210</v>
      </c>
      <c r="G25" s="25"/>
      <c r="H25" s="240">
        <f>('QUADRO I'!F39)</f>
        <v>0</v>
      </c>
      <c r="I25" s="197" t="s">
        <v>211</v>
      </c>
      <c r="J25" s="25"/>
      <c r="K25" s="197"/>
      <c r="L25" s="97" t="e">
        <f>ROUND(100*H25/H27,2)</f>
        <v>#DIV/0!</v>
      </c>
      <c r="M25" s="205" t="s">
        <v>212</v>
      </c>
      <c r="N25" s="202"/>
    </row>
    <row r="26" spans="1:14" ht="12" customHeight="1" x14ac:dyDescent="0.25">
      <c r="A26" s="200"/>
      <c r="B26" s="425"/>
      <c r="C26" s="239"/>
      <c r="D26" s="25" t="s">
        <v>213</v>
      </c>
      <c r="G26" s="25"/>
      <c r="H26" s="240">
        <f>'QUADRO I'!K39+'QUADRO I'!P39</f>
        <v>0</v>
      </c>
      <c r="I26" s="197" t="s">
        <v>211</v>
      </c>
      <c r="J26" s="25"/>
      <c r="K26" s="197"/>
      <c r="L26" s="97" t="e">
        <f>ROUND(100*H26/H27,2)</f>
        <v>#DIV/0!</v>
      </c>
      <c r="M26" s="205" t="s">
        <v>212</v>
      </c>
      <c r="N26" s="202"/>
    </row>
    <row r="27" spans="1:14" ht="12" customHeight="1" x14ac:dyDescent="0.25">
      <c r="A27" s="200"/>
      <c r="B27" s="425"/>
      <c r="C27" s="239"/>
      <c r="D27" s="25" t="s">
        <v>214</v>
      </c>
      <c r="G27" s="25"/>
      <c r="H27" s="240">
        <f>('QUADRO I'!R39)</f>
        <v>0</v>
      </c>
      <c r="I27" s="197" t="s">
        <v>211</v>
      </c>
      <c r="J27" s="25"/>
      <c r="K27" s="197"/>
      <c r="L27" s="97">
        <v>100</v>
      </c>
      <c r="M27" s="205" t="s">
        <v>212</v>
      </c>
      <c r="N27" s="202"/>
    </row>
    <row r="28" spans="1:14" ht="12" customHeight="1" x14ac:dyDescent="0.25">
      <c r="A28" s="200"/>
      <c r="B28" s="425"/>
      <c r="C28" s="239"/>
      <c r="D28" s="25" t="s">
        <v>215</v>
      </c>
      <c r="G28" s="25"/>
      <c r="H28" s="240">
        <f>('QUADRO I'!G39)</f>
        <v>0</v>
      </c>
      <c r="I28" s="197" t="s">
        <v>211</v>
      </c>
      <c r="J28" s="25"/>
      <c r="K28" s="197"/>
      <c r="L28" s="97" t="e">
        <f>ROUND(100*H28/H30,2)</f>
        <v>#DIV/0!</v>
      </c>
      <c r="M28" s="205" t="s">
        <v>212</v>
      </c>
      <c r="N28" s="202"/>
    </row>
    <row r="29" spans="1:14" ht="12" customHeight="1" x14ac:dyDescent="0.25">
      <c r="A29" s="200"/>
      <c r="B29" s="425"/>
      <c r="C29" s="239"/>
      <c r="D29" s="25" t="s">
        <v>216</v>
      </c>
      <c r="G29" s="25"/>
      <c r="H29" s="240">
        <f>'QUADRO I'!L39+'QUADRO I'!Q39</f>
        <v>0</v>
      </c>
      <c r="I29" s="197" t="s">
        <v>211</v>
      </c>
      <c r="J29" s="25"/>
      <c r="K29" s="197"/>
      <c r="L29" s="97" t="e">
        <f>ROUND(100*H29/H30,2)</f>
        <v>#DIV/0!</v>
      </c>
      <c r="M29" s="205" t="s">
        <v>212</v>
      </c>
      <c r="N29" s="202"/>
    </row>
    <row r="30" spans="1:14" ht="12" customHeight="1" x14ac:dyDescent="0.25">
      <c r="A30" s="200"/>
      <c r="B30" s="425"/>
      <c r="C30" s="239"/>
      <c r="D30" s="25" t="s">
        <v>217</v>
      </c>
      <c r="G30" s="25"/>
      <c r="H30" s="240">
        <f>('QUADRO I'!S39)</f>
        <v>0</v>
      </c>
      <c r="I30" s="197" t="s">
        <v>211</v>
      </c>
      <c r="J30" s="25"/>
      <c r="K30" s="197"/>
      <c r="L30" s="97">
        <v>100</v>
      </c>
      <c r="M30" s="205" t="s">
        <v>212</v>
      </c>
      <c r="N30" s="202"/>
    </row>
    <row r="31" spans="1:14" ht="12" customHeight="1" x14ac:dyDescent="0.25">
      <c r="A31" s="200"/>
      <c r="B31" s="426"/>
      <c r="C31" s="30"/>
      <c r="D31" s="154" t="s">
        <v>218</v>
      </c>
      <c r="E31" s="2"/>
      <c r="F31" s="2"/>
      <c r="G31" s="154"/>
      <c r="H31" s="26"/>
      <c r="I31" s="154"/>
      <c r="J31" s="154"/>
      <c r="K31" s="155"/>
      <c r="L31" s="241"/>
      <c r="M31" s="206"/>
      <c r="N31" s="202"/>
    </row>
    <row r="32" spans="1:14" ht="12" customHeight="1" x14ac:dyDescent="0.25">
      <c r="A32" s="200"/>
      <c r="B32" s="457" t="s">
        <v>219</v>
      </c>
      <c r="C32" s="56" t="s">
        <v>220</v>
      </c>
      <c r="D32" s="47"/>
      <c r="E32" s="47"/>
      <c r="F32" s="47"/>
      <c r="G32" s="47"/>
      <c r="H32" s="47"/>
      <c r="I32" s="57"/>
      <c r="J32" s="242"/>
      <c r="K32" s="153" t="s">
        <v>221</v>
      </c>
      <c r="L32" s="95" t="e">
        <f>ROUND(L23*H30,2)</f>
        <v>#VALUE!</v>
      </c>
      <c r="M32" s="295"/>
      <c r="N32" s="202"/>
    </row>
    <row r="33" spans="1:16" ht="12" customHeight="1" x14ac:dyDescent="0.25">
      <c r="A33" s="200"/>
      <c r="B33" s="425"/>
      <c r="C33" s="45"/>
      <c r="D33" s="27" t="s">
        <v>222</v>
      </c>
      <c r="E33" s="27"/>
      <c r="F33" s="27"/>
      <c r="G33" s="27"/>
      <c r="H33" s="27"/>
      <c r="I33" s="55"/>
      <c r="J33" s="55"/>
      <c r="K33" s="55"/>
      <c r="L33" s="243"/>
      <c r="M33" s="28"/>
      <c r="N33" s="202"/>
    </row>
    <row r="34" spans="1:16" ht="12" customHeight="1" x14ac:dyDescent="0.25">
      <c r="A34" s="200"/>
      <c r="B34" s="425"/>
      <c r="C34" s="239"/>
      <c r="E34" s="1" t="s">
        <v>223</v>
      </c>
      <c r="I34" s="197" t="s">
        <v>221</v>
      </c>
      <c r="J34" s="99" t="e">
        <f>ROUND($L$32*L34/100,2)</f>
        <v>#VALUE!</v>
      </c>
      <c r="K34" s="244"/>
      <c r="L34" s="97" t="e">
        <f>100*(P34)/$L$23</f>
        <v>#VALUE!</v>
      </c>
      <c r="M34" s="205" t="s">
        <v>212</v>
      </c>
      <c r="N34" s="202"/>
      <c r="P34" s="240">
        <f>SUM(0+0+0)</f>
        <v>0</v>
      </c>
    </row>
    <row r="35" spans="1:16" ht="12" customHeight="1" x14ac:dyDescent="0.25">
      <c r="A35" s="200"/>
      <c r="B35" s="425"/>
      <c r="C35" s="30"/>
      <c r="D35" s="2"/>
      <c r="E35" s="2" t="s">
        <v>224</v>
      </c>
      <c r="F35" s="2"/>
      <c r="G35" s="2"/>
      <c r="H35" s="2"/>
      <c r="I35" s="155" t="s">
        <v>221</v>
      </c>
      <c r="J35" s="100" t="e">
        <f>ROUND($L$32*L35/100,2)</f>
        <v>#VALUE!</v>
      </c>
      <c r="K35" s="58"/>
      <c r="L35" s="98" t="e">
        <f>100*(P35)/$L$23</f>
        <v>#VALUE!</v>
      </c>
      <c r="M35" s="206" t="s">
        <v>212</v>
      </c>
      <c r="N35" s="202"/>
      <c r="P35" s="240">
        <f>SUM(0)</f>
        <v>0</v>
      </c>
    </row>
    <row r="36" spans="1:16" ht="12" customHeight="1" x14ac:dyDescent="0.25">
      <c r="A36" s="200"/>
      <c r="B36" s="425"/>
      <c r="C36" s="56" t="s">
        <v>225</v>
      </c>
      <c r="D36" s="47"/>
      <c r="E36" s="47"/>
      <c r="F36" s="47"/>
      <c r="G36" s="47"/>
      <c r="H36" s="47"/>
      <c r="I36" s="57"/>
      <c r="J36" s="57"/>
      <c r="K36" s="57"/>
      <c r="L36" s="245"/>
      <c r="M36" s="295"/>
      <c r="N36" s="202"/>
    </row>
    <row r="37" spans="1:16" ht="12" customHeight="1" x14ac:dyDescent="0.25">
      <c r="A37" s="200"/>
      <c r="B37" s="425"/>
      <c r="C37" s="45"/>
      <c r="D37" s="246" t="s">
        <v>226</v>
      </c>
      <c r="E37" s="27"/>
      <c r="F37" s="27"/>
      <c r="G37" s="27"/>
      <c r="H37" s="27"/>
      <c r="I37" s="55"/>
      <c r="J37" s="55"/>
      <c r="K37" s="85" t="s">
        <v>221</v>
      </c>
      <c r="L37" s="103"/>
      <c r="M37" s="28"/>
      <c r="N37" s="202"/>
    </row>
    <row r="38" spans="1:16" ht="12" customHeight="1" x14ac:dyDescent="0.25">
      <c r="A38" s="200"/>
      <c r="B38" s="425"/>
      <c r="C38" s="239"/>
      <c r="D38" s="1" t="s">
        <v>227</v>
      </c>
      <c r="I38" s="244"/>
      <c r="J38" s="244"/>
      <c r="K38" s="197" t="s">
        <v>221</v>
      </c>
      <c r="L38" s="97"/>
      <c r="M38" s="4"/>
      <c r="N38" s="202"/>
    </row>
    <row r="39" spans="1:16" ht="12" customHeight="1" x14ac:dyDescent="0.25">
      <c r="A39" s="200"/>
      <c r="B39" s="425"/>
      <c r="C39" s="239"/>
      <c r="D39" s="1" t="s">
        <v>228</v>
      </c>
      <c r="I39" s="244"/>
      <c r="J39" s="244"/>
      <c r="K39" s="197"/>
      <c r="L39" s="97"/>
      <c r="M39" s="4"/>
      <c r="N39" s="202"/>
    </row>
    <row r="40" spans="1:16" ht="12" customHeight="1" x14ac:dyDescent="0.25">
      <c r="A40" s="200"/>
      <c r="B40" s="425"/>
      <c r="C40" s="239"/>
      <c r="E40" s="1" t="s">
        <v>229</v>
      </c>
      <c r="I40" s="244"/>
      <c r="J40" s="244"/>
      <c r="K40" s="197" t="s">
        <v>221</v>
      </c>
      <c r="L40" s="97"/>
      <c r="M40" s="4"/>
      <c r="N40" s="202"/>
    </row>
    <row r="41" spans="1:16" ht="12" customHeight="1" x14ac:dyDescent="0.25">
      <c r="A41" s="200"/>
      <c r="B41" s="425"/>
      <c r="C41" s="239"/>
      <c r="E41" s="1" t="s">
        <v>230</v>
      </c>
      <c r="I41" s="244"/>
      <c r="J41" s="244"/>
      <c r="K41" s="197" t="s">
        <v>221</v>
      </c>
      <c r="L41" s="247"/>
      <c r="M41" s="4"/>
      <c r="N41" s="250"/>
    </row>
    <row r="42" spans="1:16" ht="12" customHeight="1" x14ac:dyDescent="0.25">
      <c r="A42" s="200"/>
      <c r="B42" s="425"/>
      <c r="C42" s="239"/>
      <c r="E42" s="1" t="s">
        <v>231</v>
      </c>
      <c r="I42" s="244"/>
      <c r="J42" s="244"/>
      <c r="K42" s="197" t="s">
        <v>221</v>
      </c>
      <c r="L42" s="247"/>
      <c r="M42" s="4"/>
      <c r="N42" s="202"/>
    </row>
    <row r="43" spans="1:16" ht="12" customHeight="1" x14ac:dyDescent="0.25">
      <c r="A43" s="200"/>
      <c r="B43" s="425"/>
      <c r="C43" s="239"/>
      <c r="E43" s="1" t="s">
        <v>232</v>
      </c>
      <c r="I43" s="244"/>
      <c r="J43" s="244"/>
      <c r="K43" s="197" t="s">
        <v>221</v>
      </c>
      <c r="L43" s="247"/>
      <c r="M43" s="4"/>
      <c r="N43" s="202"/>
    </row>
    <row r="44" spans="1:16" ht="12" customHeight="1" x14ac:dyDescent="0.25">
      <c r="A44" s="200"/>
      <c r="B44" s="425"/>
      <c r="C44" s="239"/>
      <c r="E44" s="1" t="s">
        <v>233</v>
      </c>
      <c r="I44" s="244"/>
      <c r="J44" s="244"/>
      <c r="K44" s="197" t="s">
        <v>221</v>
      </c>
      <c r="L44" s="247"/>
      <c r="M44" s="4"/>
      <c r="N44" s="202"/>
    </row>
    <row r="45" spans="1:16" ht="12" customHeight="1" x14ac:dyDescent="0.25">
      <c r="A45" s="200"/>
      <c r="B45" s="425"/>
      <c r="C45" s="239"/>
      <c r="E45" s="1" t="s">
        <v>234</v>
      </c>
      <c r="I45" s="244"/>
      <c r="J45" s="244"/>
      <c r="K45" s="197" t="s">
        <v>221</v>
      </c>
      <c r="L45" s="247"/>
      <c r="M45" s="4"/>
      <c r="N45" s="202"/>
    </row>
    <row r="46" spans="1:16" ht="12" customHeight="1" x14ac:dyDescent="0.25">
      <c r="A46" s="200"/>
      <c r="B46" s="425"/>
      <c r="C46" s="239"/>
      <c r="E46" s="1" t="s">
        <v>235</v>
      </c>
      <c r="I46" s="244"/>
      <c r="J46" s="244"/>
      <c r="K46" s="197" t="s">
        <v>221</v>
      </c>
      <c r="L46" s="247"/>
      <c r="M46" s="4"/>
      <c r="N46" s="202"/>
    </row>
    <row r="47" spans="1:16" ht="12" customHeight="1" x14ac:dyDescent="0.25">
      <c r="A47" s="200"/>
      <c r="B47" s="425"/>
      <c r="C47" s="239"/>
      <c r="E47" s="1" t="s">
        <v>236</v>
      </c>
      <c r="I47" s="244"/>
      <c r="J47" s="244"/>
      <c r="K47" s="197" t="s">
        <v>221</v>
      </c>
      <c r="L47" s="247"/>
      <c r="M47" s="4"/>
      <c r="N47" s="202"/>
    </row>
    <row r="48" spans="1:16" ht="12" customHeight="1" x14ac:dyDescent="0.25">
      <c r="A48" s="200"/>
      <c r="B48" s="425"/>
      <c r="C48" s="239"/>
      <c r="D48" s="1" t="s">
        <v>237</v>
      </c>
      <c r="I48" s="244"/>
      <c r="J48" s="244"/>
      <c r="K48" s="197" t="s">
        <v>221</v>
      </c>
      <c r="L48" s="247"/>
      <c r="M48" s="4"/>
      <c r="N48" s="202"/>
    </row>
    <row r="49" spans="1:16" ht="12" customHeight="1" x14ac:dyDescent="0.25">
      <c r="A49" s="200"/>
      <c r="B49" s="425"/>
      <c r="C49" s="248"/>
      <c r="D49" s="1" t="s">
        <v>238</v>
      </c>
      <c r="I49" s="244"/>
      <c r="J49" s="244"/>
      <c r="K49" s="197"/>
      <c r="L49" s="247"/>
      <c r="M49" s="4"/>
      <c r="N49" s="202"/>
    </row>
    <row r="50" spans="1:16" ht="12" customHeight="1" x14ac:dyDescent="0.25">
      <c r="A50" s="200"/>
      <c r="B50" s="425"/>
      <c r="C50" s="239"/>
      <c r="E50" s="1" t="s">
        <v>239</v>
      </c>
      <c r="I50" s="244"/>
      <c r="J50" s="244"/>
      <c r="K50" s="197" t="s">
        <v>221</v>
      </c>
      <c r="L50" s="247"/>
      <c r="M50" s="4"/>
      <c r="N50" s="202"/>
    </row>
    <row r="51" spans="1:16" ht="12" customHeight="1" x14ac:dyDescent="0.25">
      <c r="A51" s="200"/>
      <c r="B51" s="425"/>
      <c r="C51" s="239"/>
      <c r="E51" s="1" t="s">
        <v>240</v>
      </c>
      <c r="I51" s="244"/>
      <c r="J51" s="244"/>
      <c r="K51" s="197" t="s">
        <v>221</v>
      </c>
      <c r="L51" s="247"/>
      <c r="M51" s="4"/>
      <c r="N51" s="202"/>
    </row>
    <row r="52" spans="1:16" ht="12" customHeight="1" x14ac:dyDescent="0.25">
      <c r="A52" s="200"/>
      <c r="B52" s="425"/>
      <c r="C52" s="239"/>
      <c r="E52" s="1" t="s">
        <v>241</v>
      </c>
      <c r="I52" s="244"/>
      <c r="J52" s="244"/>
      <c r="K52" s="197" t="s">
        <v>221</v>
      </c>
      <c r="L52" s="247"/>
      <c r="M52" s="4"/>
      <c r="N52" s="202"/>
    </row>
    <row r="53" spans="1:16" ht="12" customHeight="1" x14ac:dyDescent="0.25">
      <c r="A53" s="200"/>
      <c r="B53" s="425"/>
      <c r="C53" s="239"/>
      <c r="E53" s="1" t="s">
        <v>242</v>
      </c>
      <c r="I53" s="244"/>
      <c r="J53" s="244"/>
      <c r="K53" s="197" t="s">
        <v>221</v>
      </c>
      <c r="L53" s="247"/>
      <c r="M53" s="4"/>
      <c r="N53" s="202"/>
    </row>
    <row r="54" spans="1:16" ht="12" customHeight="1" x14ac:dyDescent="0.25">
      <c r="A54" s="200"/>
      <c r="B54" s="425"/>
      <c r="C54" s="239"/>
      <c r="E54" s="1" t="s">
        <v>243</v>
      </c>
      <c r="I54" s="244"/>
      <c r="J54" s="244"/>
      <c r="K54" s="197" t="s">
        <v>221</v>
      </c>
      <c r="L54" s="247"/>
      <c r="M54" s="4"/>
      <c r="N54" s="202"/>
    </row>
    <row r="55" spans="1:16" ht="12" customHeight="1" x14ac:dyDescent="0.25">
      <c r="A55" s="200"/>
      <c r="B55" s="425"/>
      <c r="C55" s="30"/>
      <c r="D55" s="2" t="s">
        <v>244</v>
      </c>
      <c r="E55" s="2"/>
      <c r="F55" s="2"/>
      <c r="G55" s="2"/>
      <c r="H55" s="2"/>
      <c r="I55" s="58"/>
      <c r="J55" s="58"/>
      <c r="K55" s="155" t="s">
        <v>221</v>
      </c>
      <c r="L55" s="104"/>
      <c r="M55" s="3"/>
      <c r="N55" s="202"/>
    </row>
    <row r="56" spans="1:16" ht="12" customHeight="1" x14ac:dyDescent="0.25">
      <c r="A56" s="200"/>
      <c r="B56" s="425"/>
      <c r="C56" s="56" t="s">
        <v>245</v>
      </c>
      <c r="D56" s="47"/>
      <c r="E56" s="47"/>
      <c r="F56" s="47"/>
      <c r="G56" s="47"/>
      <c r="H56" s="47"/>
      <c r="I56" s="57"/>
      <c r="J56" s="57"/>
      <c r="K56" s="161" t="s">
        <v>221</v>
      </c>
      <c r="L56" s="95" t="e">
        <f>SUM(L32+L37+L38+L39+L40+L41+L42+L43+L44+L45+L46+L47+L48+L49+L50+L51+L52+L53+L54+L55)</f>
        <v>#VALUE!</v>
      </c>
      <c r="M56" s="295"/>
      <c r="N56" s="202"/>
    </row>
    <row r="57" spans="1:16" ht="12" customHeight="1" x14ac:dyDescent="0.25">
      <c r="A57" s="200"/>
      <c r="B57" s="425"/>
      <c r="C57" s="45" t="s">
        <v>246</v>
      </c>
      <c r="D57" s="27"/>
      <c r="E57" s="27"/>
      <c r="F57" s="27"/>
      <c r="G57" s="27"/>
      <c r="H57" s="27"/>
      <c r="I57" s="55"/>
      <c r="J57" s="55"/>
      <c r="K57" s="85" t="s">
        <v>221</v>
      </c>
      <c r="L57" s="103"/>
      <c r="M57" s="28"/>
      <c r="N57" s="202"/>
    </row>
    <row r="58" spans="1:16" ht="9.75" customHeight="1" x14ac:dyDescent="0.25">
      <c r="A58" s="200"/>
      <c r="B58" s="425"/>
      <c r="C58" s="239" t="s">
        <v>247</v>
      </c>
      <c r="I58" s="244"/>
      <c r="J58" s="244"/>
      <c r="K58" s="197"/>
      <c r="L58" s="247"/>
      <c r="M58" s="4"/>
      <c r="N58" s="202"/>
    </row>
    <row r="59" spans="1:16" ht="12" customHeight="1" x14ac:dyDescent="0.25">
      <c r="A59" s="200"/>
      <c r="B59" s="425"/>
      <c r="C59" s="239"/>
      <c r="E59" s="1" t="s">
        <v>248</v>
      </c>
      <c r="I59" s="244"/>
      <c r="J59" s="244"/>
      <c r="K59" s="197" t="s">
        <v>221</v>
      </c>
      <c r="L59" s="247"/>
      <c r="M59" s="4"/>
      <c r="N59" s="202"/>
    </row>
    <row r="60" spans="1:16" ht="12" customHeight="1" x14ac:dyDescent="0.25">
      <c r="A60" s="200"/>
      <c r="B60" s="425"/>
      <c r="C60" s="239"/>
      <c r="E60" s="1" t="s">
        <v>249</v>
      </c>
      <c r="I60" s="244"/>
      <c r="J60" s="244"/>
      <c r="K60" s="197" t="s">
        <v>221</v>
      </c>
      <c r="L60" s="247"/>
      <c r="M60" s="4"/>
      <c r="N60" s="202"/>
    </row>
    <row r="61" spans="1:16" ht="12" customHeight="1" x14ac:dyDescent="0.25">
      <c r="A61" s="200"/>
      <c r="B61" s="425"/>
      <c r="C61" s="239"/>
      <c r="E61" s="1" t="s">
        <v>250</v>
      </c>
      <c r="I61" s="244"/>
      <c r="J61" s="244"/>
      <c r="K61" s="197" t="s">
        <v>221</v>
      </c>
      <c r="L61" s="247"/>
      <c r="M61" s="4"/>
      <c r="N61" s="202"/>
    </row>
    <row r="62" spans="1:16" ht="12" customHeight="1" x14ac:dyDescent="0.25">
      <c r="A62" s="200"/>
      <c r="B62" s="425"/>
      <c r="C62" s="239"/>
      <c r="E62" s="1" t="s">
        <v>251</v>
      </c>
      <c r="I62" s="244"/>
      <c r="J62" s="244"/>
      <c r="K62" s="197" t="s">
        <v>221</v>
      </c>
      <c r="L62" s="247"/>
      <c r="M62" s="4"/>
      <c r="N62" s="202"/>
    </row>
    <row r="63" spans="1:16" ht="12" customHeight="1" x14ac:dyDescent="0.25">
      <c r="A63" s="200"/>
      <c r="B63" s="425"/>
      <c r="C63" s="56" t="s">
        <v>252</v>
      </c>
      <c r="D63" s="47"/>
      <c r="E63" s="47"/>
      <c r="F63" s="47"/>
      <c r="G63" s="47"/>
      <c r="H63" s="47"/>
      <c r="I63" s="57"/>
      <c r="J63" s="57"/>
      <c r="K63" s="161" t="s">
        <v>221</v>
      </c>
      <c r="L63" s="95" t="e">
        <f>SUM(L56:L62)</f>
        <v>#VALUE!</v>
      </c>
      <c r="M63" s="295"/>
      <c r="N63" s="202"/>
    </row>
    <row r="64" spans="1:16" ht="12" customHeight="1" x14ac:dyDescent="0.25">
      <c r="A64" s="200"/>
      <c r="B64" s="425"/>
      <c r="C64" s="45" t="s">
        <v>253</v>
      </c>
      <c r="D64" s="27"/>
      <c r="E64" s="27"/>
      <c r="F64" s="27"/>
      <c r="G64" s="27"/>
      <c r="H64" s="27"/>
      <c r="I64" s="55"/>
      <c r="J64" s="55"/>
      <c r="K64" s="85" t="s">
        <v>221</v>
      </c>
      <c r="L64" s="103" t="e">
        <f>ROUND($L$63*P64,2)</f>
        <v>#VALUE!</v>
      </c>
      <c r="M64" s="28"/>
      <c r="N64" s="202"/>
      <c r="P64" s="252"/>
    </row>
    <row r="65" spans="1:16" ht="12" customHeight="1" x14ac:dyDescent="0.25">
      <c r="A65" s="200"/>
      <c r="B65" s="425"/>
      <c r="C65" s="30" t="s">
        <v>254</v>
      </c>
      <c r="D65" s="2"/>
      <c r="E65" s="2"/>
      <c r="F65" s="2"/>
      <c r="G65" s="2"/>
      <c r="H65" s="2"/>
      <c r="I65" s="58"/>
      <c r="J65" s="58"/>
      <c r="K65" s="155" t="s">
        <v>221</v>
      </c>
      <c r="L65" s="104" t="e">
        <f>ROUND($L$63*P65,2)</f>
        <v>#VALUE!</v>
      </c>
      <c r="M65" s="3"/>
      <c r="N65" s="202"/>
      <c r="P65" s="252"/>
    </row>
    <row r="66" spans="1:16" ht="12" customHeight="1" x14ac:dyDescent="0.25">
      <c r="A66" s="200"/>
      <c r="B66" s="425"/>
      <c r="C66" s="56" t="s">
        <v>255</v>
      </c>
      <c r="D66" s="47"/>
      <c r="E66" s="47"/>
      <c r="F66" s="47"/>
      <c r="G66" s="47"/>
      <c r="H66" s="47"/>
      <c r="I66" s="57"/>
      <c r="J66" s="57"/>
      <c r="K66" s="161" t="s">
        <v>221</v>
      </c>
      <c r="L66" s="95" t="e">
        <f>SUM(L63:L65)</f>
        <v>#VALUE!</v>
      </c>
      <c r="M66" s="295"/>
      <c r="N66" s="202"/>
    </row>
    <row r="67" spans="1:16" ht="12" customHeight="1" x14ac:dyDescent="0.25">
      <c r="A67" s="200"/>
      <c r="B67" s="426"/>
      <c r="C67" s="56" t="s">
        <v>256</v>
      </c>
      <c r="D67" s="47"/>
      <c r="E67" s="47"/>
      <c r="F67" s="47"/>
      <c r="G67" s="47"/>
      <c r="H67" s="47"/>
      <c r="I67" s="57"/>
      <c r="J67" s="57"/>
      <c r="K67" s="161" t="s">
        <v>221</v>
      </c>
      <c r="L67" s="96" t="e">
        <f>ROUND(L66/H30,2)</f>
        <v>#VALUE!</v>
      </c>
      <c r="M67" s="295" t="s">
        <v>257</v>
      </c>
      <c r="N67" s="202"/>
    </row>
    <row r="68" spans="1:16" ht="6.75" customHeight="1" thickBot="1" x14ac:dyDescent="0.3">
      <c r="A68" s="203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04"/>
    </row>
    <row r="69" spans="1:16" ht="10.8" customHeight="1" thickTop="1" x14ac:dyDescent="0.25"/>
  </sheetData>
  <mergeCells count="40">
    <mergeCell ref="B32:B67"/>
    <mergeCell ref="B11:B31"/>
    <mergeCell ref="I18:J18"/>
    <mergeCell ref="I21:J21"/>
    <mergeCell ref="I10:K10"/>
    <mergeCell ref="K19:M19"/>
    <mergeCell ref="D18:D21"/>
    <mergeCell ref="K18:M18"/>
    <mergeCell ref="D10:F10"/>
    <mergeCell ref="K15:M17"/>
    <mergeCell ref="E13:E17"/>
    <mergeCell ref="I20:J20"/>
    <mergeCell ref="C12:F12"/>
    <mergeCell ref="I19:J19"/>
    <mergeCell ref="G15:G17"/>
    <mergeCell ref="K21:M21"/>
    <mergeCell ref="B1:M1"/>
    <mergeCell ref="F13:F17"/>
    <mergeCell ref="C13:C17"/>
    <mergeCell ref="B4:H4"/>
    <mergeCell ref="H15:H17"/>
    <mergeCell ref="B5:C6"/>
    <mergeCell ref="G12:M12"/>
    <mergeCell ref="D9:F9"/>
    <mergeCell ref="D5:H6"/>
    <mergeCell ref="D8:F8"/>
    <mergeCell ref="G7:M7"/>
    <mergeCell ref="H8:M8"/>
    <mergeCell ref="I4:M4"/>
    <mergeCell ref="B3:M3"/>
    <mergeCell ref="H9:M9"/>
    <mergeCell ref="E18:E21"/>
    <mergeCell ref="B2:M2"/>
    <mergeCell ref="I6:J6"/>
    <mergeCell ref="D13:D17"/>
    <mergeCell ref="I15:J17"/>
    <mergeCell ref="G13:M14"/>
    <mergeCell ref="C7:F7"/>
    <mergeCell ref="K20:M20"/>
    <mergeCell ref="C18:C21"/>
  </mergeCells>
  <printOptions horizontalCentered="1" verticalCentered="1"/>
  <pageMargins left="0.59055118110236227" right="0.59055118110236227" top="0.59055118110236227" bottom="0.59055118110236227" header="0" footer="0"/>
  <pageSetup paperSize="9" scale="8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D633"/>
  <sheetViews>
    <sheetView showZeros="0" topLeftCell="A11" workbookViewId="0">
      <selection activeCell="E14" sqref="E14"/>
    </sheetView>
  </sheetViews>
  <sheetFormatPr defaultColWidth="1.6640625" defaultRowHeight="10.199999999999999" x14ac:dyDescent="0.25"/>
  <cols>
    <col min="1" max="1" width="1.6640625" style="1" customWidth="1"/>
    <col min="2" max="3" width="10.6640625" style="1" customWidth="1"/>
    <col min="4" max="4" width="13.6640625" style="1" customWidth="1"/>
    <col min="5" max="13" width="10.6640625" style="1" customWidth="1"/>
    <col min="14" max="14" width="9.109375" style="1" customWidth="1"/>
    <col min="15" max="15" width="10.6640625" style="1" customWidth="1"/>
    <col min="16" max="17" width="1.6640625" style="1" customWidth="1"/>
    <col min="18" max="16384" width="1.6640625" style="1"/>
  </cols>
  <sheetData>
    <row r="1" spans="1:56" ht="13.2" customHeight="1" thickTop="1" x14ac:dyDescent="0.25">
      <c r="A1" s="198"/>
      <c r="B1" s="463" t="s">
        <v>0</v>
      </c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464"/>
      <c r="P1" s="199"/>
    </row>
    <row r="2" spans="1:56" ht="13.2" customHeight="1" x14ac:dyDescent="0.25">
      <c r="A2" s="200"/>
      <c r="B2" s="346" t="s">
        <v>1</v>
      </c>
      <c r="C2" s="340"/>
      <c r="D2" s="340"/>
      <c r="E2" s="340"/>
      <c r="F2" s="340"/>
      <c r="G2" s="340"/>
      <c r="H2" s="340"/>
      <c r="I2" s="340"/>
      <c r="J2" s="340"/>
      <c r="K2" s="340"/>
      <c r="L2" s="340"/>
      <c r="M2" s="340"/>
      <c r="N2" s="340"/>
      <c r="O2" s="341"/>
      <c r="P2" s="202"/>
    </row>
    <row r="3" spans="1:56" ht="13.2" customHeight="1" x14ac:dyDescent="0.25">
      <c r="A3" s="200"/>
      <c r="B3" s="467" t="s">
        <v>258</v>
      </c>
      <c r="C3" s="337"/>
      <c r="D3" s="337"/>
      <c r="E3" s="337"/>
      <c r="F3" s="337"/>
      <c r="G3" s="337"/>
      <c r="H3" s="337"/>
      <c r="I3" s="337"/>
      <c r="J3" s="337"/>
      <c r="K3" s="337"/>
      <c r="L3" s="338"/>
      <c r="M3" s="259" t="s">
        <v>3</v>
      </c>
      <c r="N3" s="260">
        <f>('QUADRO III'!L6)+1</f>
        <v>5</v>
      </c>
      <c r="O3" s="261"/>
      <c r="P3" s="202"/>
    </row>
    <row r="4" spans="1:56" ht="12" customHeight="1" x14ac:dyDescent="0.25">
      <c r="A4" s="200"/>
      <c r="B4" s="469" t="s">
        <v>132</v>
      </c>
      <c r="C4" s="337"/>
      <c r="D4" s="465" t="str">
        <f>('QUADRO I'!$D$5)</f>
        <v>{RUA}, {COMPLEMENTO}; {SETOR} - {CIDADE}</v>
      </c>
      <c r="E4" s="337"/>
      <c r="F4" s="337"/>
      <c r="G4" s="337"/>
      <c r="H4" s="337"/>
      <c r="I4" s="337"/>
      <c r="J4" s="337"/>
      <c r="K4" s="337"/>
      <c r="L4" s="338"/>
      <c r="M4" s="439" t="s">
        <v>259</v>
      </c>
      <c r="N4" s="337"/>
      <c r="O4" s="338"/>
      <c r="P4" s="202"/>
    </row>
    <row r="5" spans="1:56" ht="12" customHeight="1" x14ac:dyDescent="0.25">
      <c r="A5" s="200"/>
      <c r="B5" s="339"/>
      <c r="C5" s="340"/>
      <c r="D5" s="340"/>
      <c r="E5" s="340"/>
      <c r="F5" s="340"/>
      <c r="G5" s="340"/>
      <c r="H5" s="340"/>
      <c r="I5" s="340"/>
      <c r="J5" s="340"/>
      <c r="K5" s="340"/>
      <c r="L5" s="341"/>
      <c r="M5" s="75" t="s">
        <v>6</v>
      </c>
      <c r="N5" s="138">
        <f>('QUADRO I'!$R$6)</f>
        <v>10</v>
      </c>
      <c r="O5" s="139"/>
      <c r="P5" s="202"/>
    </row>
    <row r="6" spans="1:56" ht="12" customHeight="1" x14ac:dyDescent="0.25">
      <c r="A6" s="200"/>
      <c r="B6" s="360" t="s">
        <v>7</v>
      </c>
      <c r="C6" s="344"/>
      <c r="D6" s="344"/>
      <c r="E6" s="344"/>
      <c r="F6" s="344"/>
      <c r="G6" s="334"/>
      <c r="H6" s="360" t="s">
        <v>8</v>
      </c>
      <c r="I6" s="344"/>
      <c r="J6" s="344"/>
      <c r="K6" s="344"/>
      <c r="L6" s="344"/>
      <c r="M6" s="344"/>
      <c r="N6" s="344"/>
      <c r="O6" s="334"/>
      <c r="P6" s="202"/>
    </row>
    <row r="7" spans="1:56" ht="12" customHeight="1" x14ac:dyDescent="0.25">
      <c r="A7" s="200"/>
      <c r="B7" s="79" t="s">
        <v>9</v>
      </c>
      <c r="C7" s="313" t="str">
        <f>('QUADRO I'!$C$8)</f>
        <v>{IMCORPORADOR}</v>
      </c>
      <c r="D7" s="27"/>
      <c r="E7" s="27"/>
      <c r="F7" s="27"/>
      <c r="G7" s="28"/>
      <c r="H7" s="19" t="s">
        <v>9</v>
      </c>
      <c r="I7" s="313" t="str">
        <f>('QUADRO I'!$N$8)</f>
        <v>{RESPONSÁVEL TÉCNICO}</v>
      </c>
      <c r="J7" s="27"/>
      <c r="K7" s="27"/>
      <c r="L7" s="27"/>
      <c r="M7" s="27"/>
      <c r="N7" s="27"/>
      <c r="O7" s="28"/>
      <c r="P7" s="202"/>
    </row>
    <row r="8" spans="1:56" ht="12" customHeight="1" x14ac:dyDescent="0.25">
      <c r="A8" s="200"/>
      <c r="B8" s="9" t="s">
        <v>10</v>
      </c>
      <c r="G8" s="4"/>
      <c r="H8" s="10" t="s">
        <v>10</v>
      </c>
      <c r="O8" s="4"/>
      <c r="P8" s="202"/>
    </row>
    <row r="9" spans="1:56" ht="12" customHeight="1" thickBot="1" x14ac:dyDescent="0.3">
      <c r="A9" s="200"/>
      <c r="B9" s="5" t="s">
        <v>11</v>
      </c>
      <c r="C9" s="165" t="str">
        <f>('QUADRO I'!$C$10)</f>
        <v>{DATA HOJE}</v>
      </c>
      <c r="D9" s="2"/>
      <c r="E9" s="2"/>
      <c r="G9" s="4"/>
      <c r="H9" s="10" t="s">
        <v>11</v>
      </c>
      <c r="I9" s="116" t="str">
        <f>('QUADRO I'!$N$10)</f>
        <v>{DATA HOJE}</v>
      </c>
      <c r="K9" s="468" t="str">
        <f>('QUADRO I'!$Q$10)</f>
        <v>Registro no CREA:</v>
      </c>
      <c r="L9" s="392"/>
      <c r="M9" s="67" t="str">
        <f>('QUADRO I'!$S$10)</f>
        <v>{CREA}</v>
      </c>
      <c r="N9" s="41"/>
      <c r="O9" s="3"/>
      <c r="P9" s="202"/>
    </row>
    <row r="10" spans="1:56" s="10" customFormat="1" ht="13.2" customHeight="1" thickTop="1" thickBot="1" x14ac:dyDescent="0.3">
      <c r="A10" s="249"/>
      <c r="B10" s="470" t="s">
        <v>260</v>
      </c>
      <c r="C10" s="474" t="s">
        <v>261</v>
      </c>
      <c r="D10" s="337"/>
      <c r="E10" s="337"/>
      <c r="F10" s="471" t="s">
        <v>262</v>
      </c>
      <c r="G10" s="472"/>
      <c r="H10" s="472"/>
      <c r="I10" s="472"/>
      <c r="J10" s="472"/>
      <c r="K10" s="472"/>
      <c r="L10" s="473"/>
      <c r="M10" s="466" t="s">
        <v>263</v>
      </c>
      <c r="N10" s="344"/>
      <c r="O10" s="334"/>
      <c r="P10" s="201"/>
    </row>
    <row r="11" spans="1:56" s="10" customFormat="1" ht="105" customHeight="1" thickTop="1" x14ac:dyDescent="0.25">
      <c r="A11" s="249"/>
      <c r="B11" s="426"/>
      <c r="C11" s="166" t="s">
        <v>264</v>
      </c>
      <c r="D11" s="61" t="s">
        <v>265</v>
      </c>
      <c r="E11" s="119" t="s">
        <v>266</v>
      </c>
      <c r="F11" s="122" t="s">
        <v>267</v>
      </c>
      <c r="G11" s="117" t="s">
        <v>268</v>
      </c>
      <c r="H11" s="117" t="s">
        <v>269</v>
      </c>
      <c r="I11" s="118" t="s">
        <v>270</v>
      </c>
      <c r="J11" s="117" t="s">
        <v>271</v>
      </c>
      <c r="K11" s="117" t="s">
        <v>272</v>
      </c>
      <c r="L11" s="128" t="s">
        <v>273</v>
      </c>
      <c r="M11" s="62" t="s">
        <v>274</v>
      </c>
      <c r="N11" s="62" t="s">
        <v>275</v>
      </c>
      <c r="O11" s="62" t="s">
        <v>276</v>
      </c>
      <c r="P11" s="254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</row>
    <row r="12" spans="1:56" s="63" customFormat="1" ht="12" customHeight="1" x14ac:dyDescent="0.25">
      <c r="A12" s="255"/>
      <c r="B12" s="105" t="s">
        <v>277</v>
      </c>
      <c r="C12" s="105" t="s">
        <v>278</v>
      </c>
      <c r="D12" s="105" t="s">
        <v>279</v>
      </c>
      <c r="E12" s="120" t="s">
        <v>280</v>
      </c>
      <c r="F12" s="123" t="s">
        <v>281</v>
      </c>
      <c r="G12" s="105" t="s">
        <v>282</v>
      </c>
      <c r="H12" s="105" t="s">
        <v>283</v>
      </c>
      <c r="I12" s="105" t="s">
        <v>284</v>
      </c>
      <c r="J12" s="105" t="s">
        <v>285</v>
      </c>
      <c r="K12" s="105" t="s">
        <v>286</v>
      </c>
      <c r="L12" s="129" t="s">
        <v>287</v>
      </c>
      <c r="M12" s="106"/>
      <c r="N12" s="106"/>
      <c r="O12" s="107" t="s">
        <v>288</v>
      </c>
      <c r="P12" s="254"/>
    </row>
    <row r="13" spans="1:56" s="10" customFormat="1" ht="12" customHeight="1" x14ac:dyDescent="0.25">
      <c r="A13" s="249"/>
      <c r="B13" s="108">
        <v>39</v>
      </c>
      <c r="C13" s="108">
        <v>40</v>
      </c>
      <c r="D13" s="108">
        <v>41</v>
      </c>
      <c r="E13" s="121">
        <v>42</v>
      </c>
      <c r="F13" s="124">
        <v>43</v>
      </c>
      <c r="G13" s="108">
        <v>44</v>
      </c>
      <c r="H13" s="108">
        <v>45</v>
      </c>
      <c r="I13" s="108">
        <v>46</v>
      </c>
      <c r="J13" s="108">
        <v>47</v>
      </c>
      <c r="K13" s="108">
        <v>48</v>
      </c>
      <c r="L13" s="130">
        <v>49</v>
      </c>
      <c r="M13" s="162">
        <v>50</v>
      </c>
      <c r="N13" s="162">
        <v>51</v>
      </c>
      <c r="O13" s="162">
        <v>52</v>
      </c>
      <c r="P13" s="201"/>
    </row>
    <row r="14" spans="1:56" ht="12" customHeight="1" x14ac:dyDescent="0.25">
      <c r="A14" s="200"/>
      <c r="B14" s="24" t="str">
        <f>('QUADRO II'!B17)</f>
        <v>CASA 01</v>
      </c>
      <c r="C14" s="109" t="e">
        <f>('QUADRO II'!U17)</f>
        <v>#VALUE!</v>
      </c>
      <c r="D14" s="86" t="e">
        <f>'QUADRO III'!L32*0.0161290322580645</f>
        <v>#VALUE!</v>
      </c>
      <c r="E14" s="327" t="e">
        <f>('QUADRO II'!N17)</f>
        <v>#DIV/0!</v>
      </c>
      <c r="F14" s="125"/>
      <c r="G14" s="93"/>
      <c r="H14" s="86"/>
      <c r="I14" s="86"/>
      <c r="J14" s="86"/>
      <c r="K14" s="109"/>
      <c r="L14" s="131">
        <f t="shared" ref="L14:L45" si="0">ROUND(G14*$K$76,2)</f>
        <v>0</v>
      </c>
      <c r="M14" s="86">
        <f>('QUADRO II'!V17)</f>
        <v>1</v>
      </c>
      <c r="N14" s="253"/>
      <c r="O14" s="86">
        <f t="shared" ref="O14:O45" si="1">SUM(M14-N14)</f>
        <v>1</v>
      </c>
      <c r="P14" s="202"/>
    </row>
    <row r="15" spans="1:56" ht="12" customHeight="1" x14ac:dyDescent="0.25">
      <c r="A15" s="200"/>
      <c r="B15" s="24" t="e">
        <f>('QUADRO II'!#REF!)</f>
        <v>#REF!</v>
      </c>
      <c r="C15" s="109" t="e">
        <f>('QUADRO II'!#REF!)</f>
        <v>#REF!</v>
      </c>
      <c r="D15" s="86" t="e">
        <f>'QUADRO III'!L32*0.0161290322580645</f>
        <v>#VALUE!</v>
      </c>
      <c r="E15" s="327" t="e">
        <f>('QUADRO II'!#REF!)</f>
        <v>#REF!</v>
      </c>
      <c r="F15" s="125"/>
      <c r="G15" s="93"/>
      <c r="H15" s="86"/>
      <c r="I15" s="86"/>
      <c r="J15" s="86"/>
      <c r="K15" s="109"/>
      <c r="L15" s="131">
        <f t="shared" si="0"/>
        <v>0</v>
      </c>
      <c r="M15" s="86" t="e">
        <f>('QUADRO II'!#REF!)</f>
        <v>#REF!</v>
      </c>
      <c r="N15" s="253"/>
      <c r="O15" s="86" t="e">
        <f t="shared" si="1"/>
        <v>#REF!</v>
      </c>
      <c r="P15" s="202"/>
    </row>
    <row r="16" spans="1:56" ht="12" customHeight="1" x14ac:dyDescent="0.25">
      <c r="A16" s="200"/>
      <c r="B16" s="24" t="e">
        <f>('QUADRO II'!#REF!)</f>
        <v>#REF!</v>
      </c>
      <c r="C16" s="109" t="e">
        <f>('QUADRO II'!#REF!)</f>
        <v>#REF!</v>
      </c>
      <c r="D16" s="86" t="e">
        <f>'QUADRO III'!L32*0.0161290322580645</f>
        <v>#VALUE!</v>
      </c>
      <c r="E16" s="327" t="e">
        <f>('QUADRO II'!#REF!)</f>
        <v>#REF!</v>
      </c>
      <c r="F16" s="125"/>
      <c r="G16" s="93"/>
      <c r="H16" s="86"/>
      <c r="I16" s="86"/>
      <c r="J16" s="86"/>
      <c r="K16" s="109"/>
      <c r="L16" s="131">
        <f t="shared" si="0"/>
        <v>0</v>
      </c>
      <c r="M16" s="86" t="e">
        <f>('QUADRO II'!#REF!)</f>
        <v>#REF!</v>
      </c>
      <c r="N16" s="253"/>
      <c r="O16" s="86" t="e">
        <f t="shared" si="1"/>
        <v>#REF!</v>
      </c>
      <c r="P16" s="202"/>
    </row>
    <row r="17" spans="1:16" ht="12" customHeight="1" x14ac:dyDescent="0.25">
      <c r="A17" s="200"/>
      <c r="B17" s="24" t="e">
        <f>('QUADRO II'!#REF!)</f>
        <v>#REF!</v>
      </c>
      <c r="C17" s="109" t="e">
        <f>('QUADRO II'!#REF!)</f>
        <v>#REF!</v>
      </c>
      <c r="D17" s="86" t="e">
        <f>'QUADRO III'!L32*0.0161290322580645</f>
        <v>#VALUE!</v>
      </c>
      <c r="E17" s="327" t="e">
        <f>('QUADRO II'!#REF!)</f>
        <v>#REF!</v>
      </c>
      <c r="F17" s="125"/>
      <c r="G17" s="93"/>
      <c r="H17" s="86"/>
      <c r="I17" s="86"/>
      <c r="J17" s="86"/>
      <c r="K17" s="109"/>
      <c r="L17" s="131">
        <f t="shared" si="0"/>
        <v>0</v>
      </c>
      <c r="M17" s="86" t="e">
        <f>('QUADRO II'!#REF!)</f>
        <v>#REF!</v>
      </c>
      <c r="N17" s="253"/>
      <c r="O17" s="86" t="e">
        <f t="shared" si="1"/>
        <v>#REF!</v>
      </c>
      <c r="P17" s="202"/>
    </row>
    <row r="18" spans="1:16" ht="12" customHeight="1" x14ac:dyDescent="0.25">
      <c r="A18" s="200"/>
      <c r="B18" s="24" t="e">
        <f>('QUADRO II'!#REF!)</f>
        <v>#REF!</v>
      </c>
      <c r="C18" s="109" t="e">
        <f>('QUADRO II'!#REF!)</f>
        <v>#REF!</v>
      </c>
      <c r="D18" s="86" t="e">
        <f>'QUADRO III'!L32*0.0161290322580645</f>
        <v>#VALUE!</v>
      </c>
      <c r="E18" s="327" t="e">
        <f>('QUADRO II'!#REF!)</f>
        <v>#REF!</v>
      </c>
      <c r="F18" s="125"/>
      <c r="G18" s="93"/>
      <c r="H18" s="86"/>
      <c r="I18" s="86"/>
      <c r="J18" s="86"/>
      <c r="K18" s="109"/>
      <c r="L18" s="131">
        <f t="shared" si="0"/>
        <v>0</v>
      </c>
      <c r="M18" s="86" t="e">
        <f>('QUADRO II'!#REF!)</f>
        <v>#REF!</v>
      </c>
      <c r="N18" s="253"/>
      <c r="O18" s="86" t="e">
        <f t="shared" si="1"/>
        <v>#REF!</v>
      </c>
      <c r="P18" s="202"/>
    </row>
    <row r="19" spans="1:16" ht="12" customHeight="1" x14ac:dyDescent="0.25">
      <c r="A19" s="200"/>
      <c r="B19" s="24" t="e">
        <f>('QUADRO II'!#REF!)</f>
        <v>#REF!</v>
      </c>
      <c r="C19" s="109" t="e">
        <f>('QUADRO II'!#REF!)</f>
        <v>#REF!</v>
      </c>
      <c r="D19" s="86" t="e">
        <f>'QUADRO III'!L32*0.0161290322580645</f>
        <v>#VALUE!</v>
      </c>
      <c r="E19" s="327" t="e">
        <f>('QUADRO II'!#REF!)</f>
        <v>#REF!</v>
      </c>
      <c r="F19" s="125"/>
      <c r="G19" s="93"/>
      <c r="H19" s="86"/>
      <c r="I19" s="86"/>
      <c r="J19" s="86"/>
      <c r="K19" s="109"/>
      <c r="L19" s="131">
        <f t="shared" si="0"/>
        <v>0</v>
      </c>
      <c r="M19" s="86" t="e">
        <f>('QUADRO II'!#REF!)</f>
        <v>#REF!</v>
      </c>
      <c r="N19" s="253"/>
      <c r="O19" s="86" t="e">
        <f t="shared" si="1"/>
        <v>#REF!</v>
      </c>
      <c r="P19" s="202"/>
    </row>
    <row r="20" spans="1:16" ht="12" customHeight="1" x14ac:dyDescent="0.25">
      <c r="A20" s="200"/>
      <c r="B20" s="24" t="e">
        <f>('QUADRO II'!#REF!)</f>
        <v>#REF!</v>
      </c>
      <c r="C20" s="109" t="e">
        <f>('QUADRO II'!#REF!)</f>
        <v>#REF!</v>
      </c>
      <c r="D20" s="86" t="e">
        <f>'QUADRO III'!L32*0.0161290322580645</f>
        <v>#VALUE!</v>
      </c>
      <c r="E20" s="327" t="e">
        <f>('QUADRO II'!#REF!)</f>
        <v>#REF!</v>
      </c>
      <c r="F20" s="125"/>
      <c r="G20" s="93"/>
      <c r="H20" s="86"/>
      <c r="I20" s="86"/>
      <c r="J20" s="86"/>
      <c r="K20" s="109"/>
      <c r="L20" s="131">
        <f t="shared" si="0"/>
        <v>0</v>
      </c>
      <c r="M20" s="86" t="e">
        <f>('QUADRO II'!#REF!)</f>
        <v>#REF!</v>
      </c>
      <c r="N20" s="253"/>
      <c r="O20" s="86" t="e">
        <f t="shared" si="1"/>
        <v>#REF!</v>
      </c>
      <c r="P20" s="202"/>
    </row>
    <row r="21" spans="1:16" ht="12" customHeight="1" x14ac:dyDescent="0.25">
      <c r="A21" s="200"/>
      <c r="B21" s="24" t="e">
        <f>('QUADRO II'!#REF!)</f>
        <v>#REF!</v>
      </c>
      <c r="C21" s="109" t="e">
        <f>('QUADRO II'!#REF!)</f>
        <v>#REF!</v>
      </c>
      <c r="D21" s="86" t="e">
        <f>'QUADRO III'!L32*0.0161290322580645</f>
        <v>#VALUE!</v>
      </c>
      <c r="E21" s="327" t="e">
        <f>('QUADRO II'!#REF!)</f>
        <v>#REF!</v>
      </c>
      <c r="F21" s="125"/>
      <c r="G21" s="93"/>
      <c r="H21" s="86"/>
      <c r="I21" s="86"/>
      <c r="J21" s="86"/>
      <c r="K21" s="109"/>
      <c r="L21" s="131">
        <f t="shared" si="0"/>
        <v>0</v>
      </c>
      <c r="M21" s="86" t="e">
        <f>('QUADRO II'!#REF!)</f>
        <v>#REF!</v>
      </c>
      <c r="N21" s="253"/>
      <c r="O21" s="86" t="e">
        <f t="shared" si="1"/>
        <v>#REF!</v>
      </c>
      <c r="P21" s="202"/>
    </row>
    <row r="22" spans="1:16" ht="12" customHeight="1" x14ac:dyDescent="0.25">
      <c r="A22" s="200"/>
      <c r="B22" s="24" t="e">
        <f>('QUADRO II'!#REF!)</f>
        <v>#REF!</v>
      </c>
      <c r="C22" s="109" t="e">
        <f>('QUADRO II'!#REF!)</f>
        <v>#REF!</v>
      </c>
      <c r="D22" s="86" t="e">
        <f>'QUADRO III'!L32*0.0161290322580645</f>
        <v>#VALUE!</v>
      </c>
      <c r="E22" s="327" t="e">
        <f>('QUADRO II'!#REF!)</f>
        <v>#REF!</v>
      </c>
      <c r="F22" s="125"/>
      <c r="G22" s="93"/>
      <c r="H22" s="86"/>
      <c r="I22" s="86"/>
      <c r="J22" s="86"/>
      <c r="K22" s="109"/>
      <c r="L22" s="131">
        <f t="shared" si="0"/>
        <v>0</v>
      </c>
      <c r="M22" s="86" t="e">
        <f>('QUADRO II'!#REF!)</f>
        <v>#REF!</v>
      </c>
      <c r="N22" s="253"/>
      <c r="O22" s="86" t="e">
        <f t="shared" si="1"/>
        <v>#REF!</v>
      </c>
      <c r="P22" s="202"/>
    </row>
    <row r="23" spans="1:16" ht="12" customHeight="1" x14ac:dyDescent="0.25">
      <c r="A23" s="200"/>
      <c r="B23" s="24" t="e">
        <f>('QUADRO II'!#REF!)</f>
        <v>#REF!</v>
      </c>
      <c r="C23" s="109" t="e">
        <f>('QUADRO II'!#REF!)</f>
        <v>#REF!</v>
      </c>
      <c r="D23" s="86" t="e">
        <f>'QUADRO III'!L32*0.0161290322580645</f>
        <v>#VALUE!</v>
      </c>
      <c r="E23" s="327" t="e">
        <f>('QUADRO II'!#REF!)</f>
        <v>#REF!</v>
      </c>
      <c r="F23" s="125"/>
      <c r="G23" s="93"/>
      <c r="H23" s="86"/>
      <c r="I23" s="86"/>
      <c r="J23" s="86"/>
      <c r="K23" s="109"/>
      <c r="L23" s="131">
        <f t="shared" si="0"/>
        <v>0</v>
      </c>
      <c r="M23" s="86" t="e">
        <f>('QUADRO II'!#REF!)</f>
        <v>#REF!</v>
      </c>
      <c r="N23" s="253"/>
      <c r="O23" s="86" t="e">
        <f t="shared" si="1"/>
        <v>#REF!</v>
      </c>
      <c r="P23" s="202"/>
    </row>
    <row r="24" spans="1:16" ht="12" customHeight="1" x14ac:dyDescent="0.25">
      <c r="A24" s="200"/>
      <c r="B24" s="24" t="e">
        <f>('QUADRO II'!#REF!)</f>
        <v>#REF!</v>
      </c>
      <c r="C24" s="109" t="e">
        <f>('QUADRO II'!#REF!)</f>
        <v>#REF!</v>
      </c>
      <c r="D24" s="86" t="e">
        <f>'QUADRO III'!L32*0.0161290322580645</f>
        <v>#VALUE!</v>
      </c>
      <c r="E24" s="327" t="e">
        <f>('QUADRO II'!#REF!)</f>
        <v>#REF!</v>
      </c>
      <c r="F24" s="125"/>
      <c r="G24" s="93"/>
      <c r="H24" s="86"/>
      <c r="I24" s="86"/>
      <c r="J24" s="86"/>
      <c r="K24" s="109"/>
      <c r="L24" s="131">
        <f t="shared" si="0"/>
        <v>0</v>
      </c>
      <c r="M24" s="86" t="e">
        <f>('QUADRO II'!#REF!)</f>
        <v>#REF!</v>
      </c>
      <c r="N24" s="253"/>
      <c r="O24" s="86" t="e">
        <f t="shared" si="1"/>
        <v>#REF!</v>
      </c>
      <c r="P24" s="202"/>
    </row>
    <row r="25" spans="1:16" ht="12" customHeight="1" x14ac:dyDescent="0.25">
      <c r="A25" s="200"/>
      <c r="B25" s="24" t="e">
        <f>('QUADRO II'!#REF!)</f>
        <v>#REF!</v>
      </c>
      <c r="C25" s="109" t="e">
        <f>('QUADRO II'!#REF!)</f>
        <v>#REF!</v>
      </c>
      <c r="D25" s="86" t="e">
        <f>'QUADRO III'!L32*0.0161290322580645</f>
        <v>#VALUE!</v>
      </c>
      <c r="E25" s="327" t="e">
        <f>('QUADRO II'!#REF!)</f>
        <v>#REF!</v>
      </c>
      <c r="F25" s="125"/>
      <c r="G25" s="93"/>
      <c r="H25" s="86"/>
      <c r="I25" s="86"/>
      <c r="J25" s="86"/>
      <c r="K25" s="109"/>
      <c r="L25" s="131">
        <f t="shared" si="0"/>
        <v>0</v>
      </c>
      <c r="M25" s="86" t="e">
        <f>('QUADRO II'!#REF!)</f>
        <v>#REF!</v>
      </c>
      <c r="N25" s="253"/>
      <c r="O25" s="86" t="e">
        <f t="shared" si="1"/>
        <v>#REF!</v>
      </c>
      <c r="P25" s="202"/>
    </row>
    <row r="26" spans="1:16" ht="12" customHeight="1" x14ac:dyDescent="0.25">
      <c r="A26" s="200"/>
      <c r="B26" s="24" t="e">
        <f>('QUADRO II'!#REF!)</f>
        <v>#REF!</v>
      </c>
      <c r="C26" s="109" t="e">
        <f>('QUADRO II'!#REF!)</f>
        <v>#REF!</v>
      </c>
      <c r="D26" s="86" t="e">
        <f>'QUADRO III'!L32*0.0161290322580645</f>
        <v>#VALUE!</v>
      </c>
      <c r="E26" s="327" t="e">
        <f>('QUADRO II'!#REF!)</f>
        <v>#REF!</v>
      </c>
      <c r="F26" s="125"/>
      <c r="G26" s="93"/>
      <c r="H26" s="86"/>
      <c r="I26" s="86"/>
      <c r="J26" s="86"/>
      <c r="K26" s="109"/>
      <c r="L26" s="131">
        <f t="shared" si="0"/>
        <v>0</v>
      </c>
      <c r="M26" s="86" t="e">
        <f>('QUADRO II'!#REF!)</f>
        <v>#REF!</v>
      </c>
      <c r="N26" s="253"/>
      <c r="O26" s="86" t="e">
        <f t="shared" si="1"/>
        <v>#REF!</v>
      </c>
      <c r="P26" s="202"/>
    </row>
    <row r="27" spans="1:16" ht="12" customHeight="1" x14ac:dyDescent="0.25">
      <c r="A27" s="200"/>
      <c r="B27" s="24" t="e">
        <f>('QUADRO II'!#REF!)</f>
        <v>#REF!</v>
      </c>
      <c r="C27" s="109" t="e">
        <f>('QUADRO II'!#REF!)</f>
        <v>#REF!</v>
      </c>
      <c r="D27" s="86" t="e">
        <f>'QUADRO III'!L32*0.0161290322580645</f>
        <v>#VALUE!</v>
      </c>
      <c r="E27" s="327" t="e">
        <f>('QUADRO II'!#REF!)</f>
        <v>#REF!</v>
      </c>
      <c r="F27" s="125"/>
      <c r="G27" s="93"/>
      <c r="H27" s="86"/>
      <c r="I27" s="86"/>
      <c r="J27" s="86"/>
      <c r="K27" s="109"/>
      <c r="L27" s="131">
        <f t="shared" si="0"/>
        <v>0</v>
      </c>
      <c r="M27" s="86" t="e">
        <f>('QUADRO II'!#REF!)</f>
        <v>#REF!</v>
      </c>
      <c r="N27" s="253"/>
      <c r="O27" s="86" t="e">
        <f t="shared" si="1"/>
        <v>#REF!</v>
      </c>
      <c r="P27" s="202"/>
    </row>
    <row r="28" spans="1:16" ht="12" customHeight="1" x14ac:dyDescent="0.25">
      <c r="A28" s="200"/>
      <c r="B28" s="24" t="e">
        <f>('QUADRO II'!#REF!)</f>
        <v>#REF!</v>
      </c>
      <c r="C28" s="109" t="e">
        <f>('QUADRO II'!#REF!)</f>
        <v>#REF!</v>
      </c>
      <c r="D28" s="86" t="e">
        <f>'QUADRO III'!L32*0.0161290322580645</f>
        <v>#VALUE!</v>
      </c>
      <c r="E28" s="327" t="e">
        <f>('QUADRO II'!#REF!)</f>
        <v>#REF!</v>
      </c>
      <c r="F28" s="125"/>
      <c r="G28" s="93"/>
      <c r="H28" s="86"/>
      <c r="I28" s="86"/>
      <c r="J28" s="86"/>
      <c r="K28" s="109"/>
      <c r="L28" s="131">
        <f t="shared" si="0"/>
        <v>0</v>
      </c>
      <c r="M28" s="86" t="e">
        <f>('QUADRO II'!#REF!)</f>
        <v>#REF!</v>
      </c>
      <c r="N28" s="253"/>
      <c r="O28" s="86" t="e">
        <f t="shared" si="1"/>
        <v>#REF!</v>
      </c>
      <c r="P28" s="202"/>
    </row>
    <row r="29" spans="1:16" ht="12" customHeight="1" x14ac:dyDescent="0.25">
      <c r="A29" s="200"/>
      <c r="B29" s="24" t="e">
        <f>('QUADRO II'!#REF!)</f>
        <v>#REF!</v>
      </c>
      <c r="C29" s="109" t="e">
        <f>('QUADRO II'!#REF!)</f>
        <v>#REF!</v>
      </c>
      <c r="D29" s="86" t="e">
        <f>'QUADRO III'!L32*0.0161290322580645</f>
        <v>#VALUE!</v>
      </c>
      <c r="E29" s="327" t="e">
        <f>('QUADRO II'!#REF!)</f>
        <v>#REF!</v>
      </c>
      <c r="F29" s="125"/>
      <c r="G29" s="93"/>
      <c r="H29" s="86"/>
      <c r="I29" s="86"/>
      <c r="J29" s="86"/>
      <c r="K29" s="109"/>
      <c r="L29" s="131">
        <f t="shared" si="0"/>
        <v>0</v>
      </c>
      <c r="M29" s="86" t="e">
        <f>('QUADRO II'!#REF!)</f>
        <v>#REF!</v>
      </c>
      <c r="N29" s="253"/>
      <c r="O29" s="86" t="e">
        <f t="shared" si="1"/>
        <v>#REF!</v>
      </c>
      <c r="P29" s="202"/>
    </row>
    <row r="30" spans="1:16" ht="12" customHeight="1" x14ac:dyDescent="0.25">
      <c r="A30" s="200"/>
      <c r="B30" s="24" t="e">
        <f>('QUADRO II'!#REF!)</f>
        <v>#REF!</v>
      </c>
      <c r="C30" s="109" t="e">
        <f>('QUADRO II'!#REF!)</f>
        <v>#REF!</v>
      </c>
      <c r="D30" s="86" t="e">
        <f>'QUADRO III'!L32*0.0161290322580645</f>
        <v>#VALUE!</v>
      </c>
      <c r="E30" s="327" t="e">
        <f>('QUADRO II'!#REF!)</f>
        <v>#REF!</v>
      </c>
      <c r="F30" s="125"/>
      <c r="G30" s="93"/>
      <c r="H30" s="86"/>
      <c r="I30" s="86"/>
      <c r="J30" s="86"/>
      <c r="K30" s="109"/>
      <c r="L30" s="131">
        <f t="shared" si="0"/>
        <v>0</v>
      </c>
      <c r="M30" s="86" t="e">
        <f>('QUADRO II'!#REF!)</f>
        <v>#REF!</v>
      </c>
      <c r="N30" s="253"/>
      <c r="O30" s="86" t="e">
        <f t="shared" si="1"/>
        <v>#REF!</v>
      </c>
      <c r="P30" s="202"/>
    </row>
    <row r="31" spans="1:16" ht="12" customHeight="1" x14ac:dyDescent="0.25">
      <c r="A31" s="200"/>
      <c r="B31" s="24" t="e">
        <f>('QUADRO II'!#REF!)</f>
        <v>#REF!</v>
      </c>
      <c r="C31" s="109" t="e">
        <f>('QUADRO II'!#REF!)</f>
        <v>#REF!</v>
      </c>
      <c r="D31" s="86" t="e">
        <f>'QUADRO III'!L32*0.0161290322580645</f>
        <v>#VALUE!</v>
      </c>
      <c r="E31" s="327" t="e">
        <f>('QUADRO II'!#REF!)</f>
        <v>#REF!</v>
      </c>
      <c r="F31" s="125"/>
      <c r="G31" s="93"/>
      <c r="H31" s="86"/>
      <c r="I31" s="86"/>
      <c r="J31" s="86"/>
      <c r="K31" s="109"/>
      <c r="L31" s="131">
        <f t="shared" si="0"/>
        <v>0</v>
      </c>
      <c r="M31" s="86" t="e">
        <f>('QUADRO II'!#REF!)</f>
        <v>#REF!</v>
      </c>
      <c r="N31" s="253"/>
      <c r="O31" s="86" t="e">
        <f t="shared" si="1"/>
        <v>#REF!</v>
      </c>
      <c r="P31" s="202"/>
    </row>
    <row r="32" spans="1:16" ht="12" customHeight="1" x14ac:dyDescent="0.25">
      <c r="A32" s="200"/>
      <c r="B32" s="24" t="e">
        <f>('QUADRO II'!#REF!)</f>
        <v>#REF!</v>
      </c>
      <c r="C32" s="109" t="e">
        <f>('QUADRO II'!#REF!)</f>
        <v>#REF!</v>
      </c>
      <c r="D32" s="86" t="e">
        <f>'QUADRO III'!L32*0.0161290322580645</f>
        <v>#VALUE!</v>
      </c>
      <c r="E32" s="327" t="e">
        <f>('QUADRO II'!#REF!)</f>
        <v>#REF!</v>
      </c>
      <c r="F32" s="125"/>
      <c r="G32" s="93"/>
      <c r="H32" s="86"/>
      <c r="I32" s="86"/>
      <c r="J32" s="86"/>
      <c r="K32" s="109"/>
      <c r="L32" s="131">
        <f t="shared" si="0"/>
        <v>0</v>
      </c>
      <c r="M32" s="86" t="e">
        <f>('QUADRO II'!#REF!)</f>
        <v>#REF!</v>
      </c>
      <c r="N32" s="253"/>
      <c r="O32" s="86" t="e">
        <f t="shared" si="1"/>
        <v>#REF!</v>
      </c>
      <c r="P32" s="202"/>
    </row>
    <row r="33" spans="1:16" ht="12" customHeight="1" x14ac:dyDescent="0.25">
      <c r="A33" s="200"/>
      <c r="B33" s="24" t="e">
        <f>('QUADRO II'!#REF!)</f>
        <v>#REF!</v>
      </c>
      <c r="C33" s="109" t="e">
        <f>('QUADRO II'!#REF!)</f>
        <v>#REF!</v>
      </c>
      <c r="D33" s="86" t="e">
        <f>'QUADRO III'!L32*0.0161290322580645</f>
        <v>#VALUE!</v>
      </c>
      <c r="E33" s="327" t="e">
        <f>('QUADRO II'!#REF!)</f>
        <v>#REF!</v>
      </c>
      <c r="F33" s="125"/>
      <c r="G33" s="93"/>
      <c r="H33" s="86"/>
      <c r="I33" s="86"/>
      <c r="J33" s="86"/>
      <c r="K33" s="109"/>
      <c r="L33" s="131">
        <f t="shared" si="0"/>
        <v>0</v>
      </c>
      <c r="M33" s="86" t="e">
        <f>('QUADRO II'!#REF!)</f>
        <v>#REF!</v>
      </c>
      <c r="N33" s="253"/>
      <c r="O33" s="86" t="e">
        <f t="shared" si="1"/>
        <v>#REF!</v>
      </c>
      <c r="P33" s="202"/>
    </row>
    <row r="34" spans="1:16" ht="12" customHeight="1" x14ac:dyDescent="0.25">
      <c r="A34" s="200"/>
      <c r="B34" s="24" t="e">
        <f>('QUADRO II'!#REF!)</f>
        <v>#REF!</v>
      </c>
      <c r="C34" s="109" t="e">
        <f>('QUADRO II'!#REF!)</f>
        <v>#REF!</v>
      </c>
      <c r="D34" s="86" t="e">
        <f>'QUADRO III'!L32*0.0161290322580645</f>
        <v>#VALUE!</v>
      </c>
      <c r="E34" s="327" t="e">
        <f>('QUADRO II'!#REF!)</f>
        <v>#REF!</v>
      </c>
      <c r="F34" s="125"/>
      <c r="G34" s="93"/>
      <c r="H34" s="86"/>
      <c r="I34" s="86"/>
      <c r="J34" s="86"/>
      <c r="K34" s="109"/>
      <c r="L34" s="131">
        <f t="shared" si="0"/>
        <v>0</v>
      </c>
      <c r="M34" s="86" t="e">
        <f>('QUADRO II'!#REF!)</f>
        <v>#REF!</v>
      </c>
      <c r="N34" s="253"/>
      <c r="O34" s="86" t="e">
        <f t="shared" si="1"/>
        <v>#REF!</v>
      </c>
      <c r="P34" s="202"/>
    </row>
    <row r="35" spans="1:16" ht="12" customHeight="1" x14ac:dyDescent="0.25">
      <c r="A35" s="200"/>
      <c r="B35" s="24" t="e">
        <f>('QUADRO II'!#REF!)</f>
        <v>#REF!</v>
      </c>
      <c r="C35" s="109" t="e">
        <f>('QUADRO II'!#REF!)</f>
        <v>#REF!</v>
      </c>
      <c r="D35" s="86" t="e">
        <f>'QUADRO III'!L32*0.0161290322580645</f>
        <v>#VALUE!</v>
      </c>
      <c r="E35" s="327" t="e">
        <f>('QUADRO II'!#REF!)</f>
        <v>#REF!</v>
      </c>
      <c r="F35" s="125"/>
      <c r="G35" s="93"/>
      <c r="H35" s="86"/>
      <c r="I35" s="86"/>
      <c r="J35" s="86"/>
      <c r="K35" s="109"/>
      <c r="L35" s="131">
        <f t="shared" si="0"/>
        <v>0</v>
      </c>
      <c r="M35" s="86" t="e">
        <f>('QUADRO II'!#REF!)</f>
        <v>#REF!</v>
      </c>
      <c r="N35" s="253"/>
      <c r="O35" s="86" t="e">
        <f t="shared" si="1"/>
        <v>#REF!</v>
      </c>
      <c r="P35" s="202"/>
    </row>
    <row r="36" spans="1:16" ht="12" customHeight="1" x14ac:dyDescent="0.25">
      <c r="A36" s="200"/>
      <c r="B36" s="24" t="e">
        <f>('QUADRO II'!#REF!)</f>
        <v>#REF!</v>
      </c>
      <c r="C36" s="109" t="e">
        <f>('QUADRO II'!#REF!)</f>
        <v>#REF!</v>
      </c>
      <c r="D36" s="86" t="e">
        <f>'QUADRO III'!L32*0.0161290322580645</f>
        <v>#VALUE!</v>
      </c>
      <c r="E36" s="327" t="e">
        <f>('QUADRO II'!#REF!)</f>
        <v>#REF!</v>
      </c>
      <c r="F36" s="125"/>
      <c r="G36" s="93"/>
      <c r="H36" s="86"/>
      <c r="I36" s="86"/>
      <c r="J36" s="86"/>
      <c r="K36" s="109"/>
      <c r="L36" s="131">
        <f t="shared" si="0"/>
        <v>0</v>
      </c>
      <c r="M36" s="86" t="e">
        <f>('QUADRO II'!#REF!)</f>
        <v>#REF!</v>
      </c>
      <c r="N36" s="253"/>
      <c r="O36" s="86" t="e">
        <f t="shared" si="1"/>
        <v>#REF!</v>
      </c>
      <c r="P36" s="202"/>
    </row>
    <row r="37" spans="1:16" ht="12" customHeight="1" x14ac:dyDescent="0.25">
      <c r="A37" s="200"/>
      <c r="B37" s="24" t="e">
        <f>('QUADRO II'!#REF!)</f>
        <v>#REF!</v>
      </c>
      <c r="C37" s="109" t="e">
        <f>('QUADRO II'!#REF!)</f>
        <v>#REF!</v>
      </c>
      <c r="D37" s="86" t="e">
        <f>'QUADRO III'!L32*0.0161290322580645</f>
        <v>#VALUE!</v>
      </c>
      <c r="E37" s="327" t="e">
        <f>('QUADRO II'!#REF!)</f>
        <v>#REF!</v>
      </c>
      <c r="F37" s="125"/>
      <c r="G37" s="93"/>
      <c r="H37" s="86"/>
      <c r="I37" s="86"/>
      <c r="J37" s="86"/>
      <c r="K37" s="109"/>
      <c r="L37" s="131">
        <f t="shared" si="0"/>
        <v>0</v>
      </c>
      <c r="M37" s="86" t="e">
        <f>('QUADRO II'!#REF!)</f>
        <v>#REF!</v>
      </c>
      <c r="N37" s="253"/>
      <c r="O37" s="86" t="e">
        <f t="shared" si="1"/>
        <v>#REF!</v>
      </c>
      <c r="P37" s="202"/>
    </row>
    <row r="38" spans="1:16" ht="12" customHeight="1" x14ac:dyDescent="0.25">
      <c r="A38" s="200"/>
      <c r="B38" s="24" t="e">
        <f>('QUADRO II'!#REF!)</f>
        <v>#REF!</v>
      </c>
      <c r="C38" s="109" t="e">
        <f>('QUADRO II'!#REF!)</f>
        <v>#REF!</v>
      </c>
      <c r="D38" s="86" t="e">
        <f>'QUADRO III'!L32*0.0161290322580645</f>
        <v>#VALUE!</v>
      </c>
      <c r="E38" s="327" t="e">
        <f>('QUADRO II'!#REF!)</f>
        <v>#REF!</v>
      </c>
      <c r="F38" s="125"/>
      <c r="G38" s="93"/>
      <c r="H38" s="86"/>
      <c r="I38" s="86"/>
      <c r="J38" s="86"/>
      <c r="K38" s="109"/>
      <c r="L38" s="131">
        <f t="shared" si="0"/>
        <v>0</v>
      </c>
      <c r="M38" s="86" t="e">
        <f>('QUADRO II'!#REF!)</f>
        <v>#REF!</v>
      </c>
      <c r="N38" s="253"/>
      <c r="O38" s="86" t="e">
        <f t="shared" si="1"/>
        <v>#REF!</v>
      </c>
      <c r="P38" s="202"/>
    </row>
    <row r="39" spans="1:16" ht="12" customHeight="1" x14ac:dyDescent="0.25">
      <c r="A39" s="200"/>
      <c r="B39" s="24" t="e">
        <f>('QUADRO II'!#REF!)</f>
        <v>#REF!</v>
      </c>
      <c r="C39" s="109" t="e">
        <f>('QUADRO II'!#REF!)</f>
        <v>#REF!</v>
      </c>
      <c r="D39" s="86" t="e">
        <f>'QUADRO III'!L32*0.0161290322580645</f>
        <v>#VALUE!</v>
      </c>
      <c r="E39" s="327" t="e">
        <f>('QUADRO II'!#REF!)</f>
        <v>#REF!</v>
      </c>
      <c r="F39" s="125"/>
      <c r="G39" s="93"/>
      <c r="H39" s="86"/>
      <c r="I39" s="86"/>
      <c r="J39" s="86"/>
      <c r="K39" s="109"/>
      <c r="L39" s="131">
        <f t="shared" si="0"/>
        <v>0</v>
      </c>
      <c r="M39" s="86" t="e">
        <f>('QUADRO II'!#REF!)</f>
        <v>#REF!</v>
      </c>
      <c r="N39" s="253"/>
      <c r="O39" s="86" t="e">
        <f t="shared" si="1"/>
        <v>#REF!</v>
      </c>
      <c r="P39" s="202"/>
    </row>
    <row r="40" spans="1:16" ht="12" customHeight="1" x14ac:dyDescent="0.25">
      <c r="A40" s="200"/>
      <c r="B40" s="24" t="e">
        <f>('QUADRO II'!#REF!)</f>
        <v>#REF!</v>
      </c>
      <c r="C40" s="109" t="e">
        <f>('QUADRO II'!#REF!)</f>
        <v>#REF!</v>
      </c>
      <c r="D40" s="86" t="e">
        <f>'QUADRO III'!L32*0.0161290322580645</f>
        <v>#VALUE!</v>
      </c>
      <c r="E40" s="327" t="e">
        <f>('QUADRO II'!#REF!)</f>
        <v>#REF!</v>
      </c>
      <c r="F40" s="125"/>
      <c r="G40" s="93"/>
      <c r="H40" s="86"/>
      <c r="I40" s="86"/>
      <c r="J40" s="86"/>
      <c r="K40" s="109"/>
      <c r="L40" s="131">
        <f t="shared" si="0"/>
        <v>0</v>
      </c>
      <c r="M40" s="86" t="e">
        <f>('QUADRO II'!#REF!)</f>
        <v>#REF!</v>
      </c>
      <c r="N40" s="253"/>
      <c r="O40" s="86" t="e">
        <f t="shared" si="1"/>
        <v>#REF!</v>
      </c>
      <c r="P40" s="202"/>
    </row>
    <row r="41" spans="1:16" ht="12" customHeight="1" x14ac:dyDescent="0.25">
      <c r="A41" s="200"/>
      <c r="B41" s="24" t="e">
        <f>('QUADRO II'!#REF!)</f>
        <v>#REF!</v>
      </c>
      <c r="C41" s="109" t="e">
        <f>('QUADRO II'!#REF!)</f>
        <v>#REF!</v>
      </c>
      <c r="D41" s="86" t="e">
        <f>'QUADRO III'!L32*0.0161290322580645</f>
        <v>#VALUE!</v>
      </c>
      <c r="E41" s="327" t="e">
        <f>('QUADRO II'!#REF!)</f>
        <v>#REF!</v>
      </c>
      <c r="F41" s="125"/>
      <c r="G41" s="93"/>
      <c r="H41" s="86"/>
      <c r="I41" s="86"/>
      <c r="J41" s="86"/>
      <c r="K41" s="109"/>
      <c r="L41" s="131">
        <f t="shared" si="0"/>
        <v>0</v>
      </c>
      <c r="M41" s="86" t="e">
        <f>('QUADRO II'!#REF!)</f>
        <v>#REF!</v>
      </c>
      <c r="N41" s="253"/>
      <c r="O41" s="86" t="e">
        <f t="shared" si="1"/>
        <v>#REF!</v>
      </c>
      <c r="P41" s="202"/>
    </row>
    <row r="42" spans="1:16" ht="12" customHeight="1" x14ac:dyDescent="0.25">
      <c r="A42" s="200"/>
      <c r="B42" s="24" t="e">
        <f>('QUADRO II'!#REF!)</f>
        <v>#REF!</v>
      </c>
      <c r="C42" s="109" t="e">
        <f>('QUADRO II'!#REF!)</f>
        <v>#REF!</v>
      </c>
      <c r="D42" s="86" t="e">
        <f>'QUADRO III'!L32*0.0161290322580645</f>
        <v>#VALUE!</v>
      </c>
      <c r="E42" s="327" t="e">
        <f>('QUADRO II'!#REF!)</f>
        <v>#REF!</v>
      </c>
      <c r="F42" s="125"/>
      <c r="G42" s="93"/>
      <c r="H42" s="86"/>
      <c r="I42" s="86"/>
      <c r="J42" s="86"/>
      <c r="K42" s="109"/>
      <c r="L42" s="131">
        <f t="shared" si="0"/>
        <v>0</v>
      </c>
      <c r="M42" s="86" t="e">
        <f>('QUADRO II'!#REF!)</f>
        <v>#REF!</v>
      </c>
      <c r="N42" s="253"/>
      <c r="O42" s="86" t="e">
        <f t="shared" si="1"/>
        <v>#REF!</v>
      </c>
      <c r="P42" s="202"/>
    </row>
    <row r="43" spans="1:16" ht="12" customHeight="1" x14ac:dyDescent="0.25">
      <c r="A43" s="200"/>
      <c r="B43" s="24" t="e">
        <f>('QUADRO II'!#REF!)</f>
        <v>#REF!</v>
      </c>
      <c r="C43" s="109" t="e">
        <f>('QUADRO II'!#REF!)</f>
        <v>#REF!</v>
      </c>
      <c r="D43" s="86" t="e">
        <f>'QUADRO III'!L32*0.0161290322580645</f>
        <v>#VALUE!</v>
      </c>
      <c r="E43" s="327" t="e">
        <f>('QUADRO II'!#REF!)</f>
        <v>#REF!</v>
      </c>
      <c r="F43" s="125"/>
      <c r="G43" s="93"/>
      <c r="H43" s="86"/>
      <c r="I43" s="86"/>
      <c r="J43" s="86"/>
      <c r="K43" s="109"/>
      <c r="L43" s="131">
        <f t="shared" si="0"/>
        <v>0</v>
      </c>
      <c r="M43" s="86" t="e">
        <f>('QUADRO II'!#REF!)</f>
        <v>#REF!</v>
      </c>
      <c r="N43" s="253"/>
      <c r="O43" s="86" t="e">
        <f t="shared" si="1"/>
        <v>#REF!</v>
      </c>
      <c r="P43" s="202"/>
    </row>
    <row r="44" spans="1:16" ht="12" customHeight="1" x14ac:dyDescent="0.25">
      <c r="A44" s="200"/>
      <c r="B44" s="24" t="e">
        <f>('QUADRO II'!#REF!)</f>
        <v>#REF!</v>
      </c>
      <c r="C44" s="109" t="e">
        <f>('QUADRO II'!#REF!)</f>
        <v>#REF!</v>
      </c>
      <c r="D44" s="86" t="e">
        <f>'QUADRO III'!L32*0.0161290322580645</f>
        <v>#VALUE!</v>
      </c>
      <c r="E44" s="327" t="e">
        <f>('QUADRO II'!#REF!)</f>
        <v>#REF!</v>
      </c>
      <c r="F44" s="125"/>
      <c r="G44" s="93"/>
      <c r="H44" s="86"/>
      <c r="I44" s="86"/>
      <c r="J44" s="86"/>
      <c r="K44" s="109"/>
      <c r="L44" s="131">
        <f t="shared" si="0"/>
        <v>0</v>
      </c>
      <c r="M44" s="86" t="e">
        <f>('QUADRO II'!#REF!)</f>
        <v>#REF!</v>
      </c>
      <c r="N44" s="253"/>
      <c r="O44" s="86" t="e">
        <f t="shared" si="1"/>
        <v>#REF!</v>
      </c>
      <c r="P44" s="202"/>
    </row>
    <row r="45" spans="1:16" ht="12" customHeight="1" x14ac:dyDescent="0.25">
      <c r="A45" s="200"/>
      <c r="B45" s="24" t="e">
        <f>('QUADRO II'!#REF!)</f>
        <v>#REF!</v>
      </c>
      <c r="C45" s="109" t="e">
        <f>('QUADRO II'!#REF!)</f>
        <v>#REF!</v>
      </c>
      <c r="D45" s="86" t="e">
        <f>'QUADRO III'!L32*0.0161290322580645</f>
        <v>#VALUE!</v>
      </c>
      <c r="E45" s="327" t="e">
        <f>('QUADRO II'!#REF!)</f>
        <v>#REF!</v>
      </c>
      <c r="F45" s="125"/>
      <c r="G45" s="93"/>
      <c r="H45" s="86"/>
      <c r="I45" s="86"/>
      <c r="J45" s="86"/>
      <c r="K45" s="109"/>
      <c r="L45" s="131">
        <f t="shared" si="0"/>
        <v>0</v>
      </c>
      <c r="M45" s="86" t="e">
        <f>('QUADRO II'!#REF!)</f>
        <v>#REF!</v>
      </c>
      <c r="N45" s="253"/>
      <c r="O45" s="86" t="e">
        <f t="shared" si="1"/>
        <v>#REF!</v>
      </c>
      <c r="P45" s="202"/>
    </row>
    <row r="46" spans="1:16" ht="12" customHeight="1" x14ac:dyDescent="0.25">
      <c r="A46" s="200"/>
      <c r="B46" s="24" t="e">
        <f>('QUADRO II'!#REF!)</f>
        <v>#REF!</v>
      </c>
      <c r="C46" s="109" t="e">
        <f>('QUADRO II'!#REF!)</f>
        <v>#REF!</v>
      </c>
      <c r="D46" s="86" t="e">
        <f>'QUADRO III'!L32*0.0161290322580645</f>
        <v>#VALUE!</v>
      </c>
      <c r="E46" s="327" t="e">
        <f>('QUADRO II'!#REF!)</f>
        <v>#REF!</v>
      </c>
      <c r="F46" s="125"/>
      <c r="G46" s="93"/>
      <c r="H46" s="86"/>
      <c r="I46" s="86"/>
      <c r="J46" s="86"/>
      <c r="K46" s="109"/>
      <c r="L46" s="131">
        <f t="shared" ref="L46:L75" si="2">ROUND(G46*$K$76,2)</f>
        <v>0</v>
      </c>
      <c r="M46" s="86" t="e">
        <f>('QUADRO II'!#REF!)</f>
        <v>#REF!</v>
      </c>
      <c r="N46" s="253"/>
      <c r="O46" s="86" t="e">
        <f t="shared" ref="O46:O77" si="3">SUM(M46-N46)</f>
        <v>#REF!</v>
      </c>
      <c r="P46" s="202"/>
    </row>
    <row r="47" spans="1:16" ht="12" customHeight="1" x14ac:dyDescent="0.25">
      <c r="A47" s="200"/>
      <c r="B47" s="24" t="e">
        <f>('QUADRO II'!#REF!)</f>
        <v>#REF!</v>
      </c>
      <c r="C47" s="109" t="e">
        <f>('QUADRO II'!#REF!)</f>
        <v>#REF!</v>
      </c>
      <c r="D47" s="86" t="e">
        <f>'QUADRO III'!L32*0.0161290322580645</f>
        <v>#VALUE!</v>
      </c>
      <c r="E47" s="327" t="e">
        <f>('QUADRO II'!#REF!)</f>
        <v>#REF!</v>
      </c>
      <c r="F47" s="125"/>
      <c r="G47" s="93"/>
      <c r="H47" s="86"/>
      <c r="I47" s="86"/>
      <c r="J47" s="86"/>
      <c r="K47" s="109"/>
      <c r="L47" s="131">
        <f t="shared" si="2"/>
        <v>0</v>
      </c>
      <c r="M47" s="86" t="e">
        <f>('QUADRO II'!#REF!)</f>
        <v>#REF!</v>
      </c>
      <c r="N47" s="253"/>
      <c r="O47" s="86" t="e">
        <f t="shared" si="3"/>
        <v>#REF!</v>
      </c>
      <c r="P47" s="202"/>
    </row>
    <row r="48" spans="1:16" ht="12" customHeight="1" x14ac:dyDescent="0.25">
      <c r="A48" s="200"/>
      <c r="B48" s="24" t="e">
        <f>('QUADRO II'!#REF!)</f>
        <v>#REF!</v>
      </c>
      <c r="C48" s="109" t="e">
        <f>('QUADRO II'!#REF!)</f>
        <v>#REF!</v>
      </c>
      <c r="D48" s="86" t="e">
        <f>'QUADRO III'!L32*0.0161290322580645</f>
        <v>#VALUE!</v>
      </c>
      <c r="E48" s="327" t="e">
        <f>('QUADRO II'!#REF!)</f>
        <v>#REF!</v>
      </c>
      <c r="F48" s="125"/>
      <c r="G48" s="93"/>
      <c r="H48" s="86"/>
      <c r="I48" s="86"/>
      <c r="J48" s="86"/>
      <c r="K48" s="109"/>
      <c r="L48" s="131">
        <f t="shared" si="2"/>
        <v>0</v>
      </c>
      <c r="M48" s="86" t="e">
        <f>('QUADRO II'!#REF!)</f>
        <v>#REF!</v>
      </c>
      <c r="N48" s="253"/>
      <c r="O48" s="86" t="e">
        <f t="shared" si="3"/>
        <v>#REF!</v>
      </c>
      <c r="P48" s="202"/>
    </row>
    <row r="49" spans="1:16" ht="12" customHeight="1" x14ac:dyDescent="0.25">
      <c r="A49" s="200"/>
      <c r="B49" s="24" t="e">
        <f>('QUADRO II'!#REF!)</f>
        <v>#REF!</v>
      </c>
      <c r="C49" s="109" t="e">
        <f>('QUADRO II'!#REF!)</f>
        <v>#REF!</v>
      </c>
      <c r="D49" s="86" t="e">
        <f>'QUADRO III'!L32*0.0161290322580645</f>
        <v>#VALUE!</v>
      </c>
      <c r="E49" s="327" t="e">
        <f>('QUADRO II'!#REF!)</f>
        <v>#REF!</v>
      </c>
      <c r="F49" s="125"/>
      <c r="G49" s="93"/>
      <c r="H49" s="86"/>
      <c r="I49" s="86"/>
      <c r="J49" s="86"/>
      <c r="K49" s="109"/>
      <c r="L49" s="131">
        <f t="shared" si="2"/>
        <v>0</v>
      </c>
      <c r="M49" s="86" t="e">
        <f>('QUADRO II'!#REF!)</f>
        <v>#REF!</v>
      </c>
      <c r="N49" s="253"/>
      <c r="O49" s="86" t="e">
        <f t="shared" si="3"/>
        <v>#REF!</v>
      </c>
      <c r="P49" s="202"/>
    </row>
    <row r="50" spans="1:16" ht="12" customHeight="1" x14ac:dyDescent="0.25">
      <c r="A50" s="200"/>
      <c r="B50" s="24" t="e">
        <f>('QUADRO II'!#REF!)</f>
        <v>#REF!</v>
      </c>
      <c r="C50" s="109" t="e">
        <f>('QUADRO II'!#REF!)</f>
        <v>#REF!</v>
      </c>
      <c r="D50" s="86" t="e">
        <f>'QUADRO III'!L32*0.0161290322580645</f>
        <v>#VALUE!</v>
      </c>
      <c r="E50" s="327" t="e">
        <f>('QUADRO II'!#REF!)</f>
        <v>#REF!</v>
      </c>
      <c r="F50" s="125"/>
      <c r="G50" s="93"/>
      <c r="H50" s="86"/>
      <c r="I50" s="86"/>
      <c r="J50" s="86"/>
      <c r="K50" s="109"/>
      <c r="L50" s="131">
        <f t="shared" si="2"/>
        <v>0</v>
      </c>
      <c r="M50" s="86" t="e">
        <f>('QUADRO II'!#REF!)</f>
        <v>#REF!</v>
      </c>
      <c r="N50" s="253"/>
      <c r="O50" s="86" t="e">
        <f t="shared" si="3"/>
        <v>#REF!</v>
      </c>
      <c r="P50" s="202"/>
    </row>
    <row r="51" spans="1:16" ht="12" customHeight="1" x14ac:dyDescent="0.25">
      <c r="A51" s="200"/>
      <c r="B51" s="24" t="e">
        <f>('QUADRO II'!#REF!)</f>
        <v>#REF!</v>
      </c>
      <c r="C51" s="109" t="e">
        <f>('QUADRO II'!#REF!)</f>
        <v>#REF!</v>
      </c>
      <c r="D51" s="86" t="e">
        <f>'QUADRO III'!L32*0.0161290322580645</f>
        <v>#VALUE!</v>
      </c>
      <c r="E51" s="327" t="e">
        <f>('QUADRO II'!#REF!)</f>
        <v>#REF!</v>
      </c>
      <c r="F51" s="125"/>
      <c r="G51" s="93"/>
      <c r="H51" s="86"/>
      <c r="I51" s="86"/>
      <c r="J51" s="86"/>
      <c r="K51" s="109"/>
      <c r="L51" s="131">
        <f t="shared" si="2"/>
        <v>0</v>
      </c>
      <c r="M51" s="86" t="e">
        <f>('QUADRO II'!#REF!)</f>
        <v>#REF!</v>
      </c>
      <c r="N51" s="253"/>
      <c r="O51" s="86" t="e">
        <f t="shared" si="3"/>
        <v>#REF!</v>
      </c>
      <c r="P51" s="202"/>
    </row>
    <row r="52" spans="1:16" ht="12" customHeight="1" x14ac:dyDescent="0.25">
      <c r="A52" s="200"/>
      <c r="B52" s="24" t="e">
        <f>('QUADRO II'!#REF!)</f>
        <v>#REF!</v>
      </c>
      <c r="C52" s="109" t="e">
        <f>('QUADRO II'!#REF!)</f>
        <v>#REF!</v>
      </c>
      <c r="D52" s="86" t="e">
        <f>'QUADRO III'!L32*0.0161290322580645</f>
        <v>#VALUE!</v>
      </c>
      <c r="E52" s="327" t="e">
        <f>('QUADRO II'!#REF!)</f>
        <v>#REF!</v>
      </c>
      <c r="F52" s="125"/>
      <c r="G52" s="93"/>
      <c r="H52" s="86"/>
      <c r="I52" s="86"/>
      <c r="J52" s="86"/>
      <c r="K52" s="109"/>
      <c r="L52" s="131">
        <f t="shared" si="2"/>
        <v>0</v>
      </c>
      <c r="M52" s="86" t="e">
        <f>('QUADRO II'!#REF!)</f>
        <v>#REF!</v>
      </c>
      <c r="N52" s="253"/>
      <c r="O52" s="86" t="e">
        <f t="shared" si="3"/>
        <v>#REF!</v>
      </c>
      <c r="P52" s="202"/>
    </row>
    <row r="53" spans="1:16" ht="12" customHeight="1" x14ac:dyDescent="0.25">
      <c r="A53" s="200"/>
      <c r="B53" s="24" t="e">
        <f>('QUADRO II'!#REF!)</f>
        <v>#REF!</v>
      </c>
      <c r="C53" s="109" t="e">
        <f>('QUADRO II'!#REF!)</f>
        <v>#REF!</v>
      </c>
      <c r="D53" s="86" t="e">
        <f>'QUADRO III'!L32*0.0161290322580645</f>
        <v>#VALUE!</v>
      </c>
      <c r="E53" s="327" t="e">
        <f>('QUADRO II'!#REF!)</f>
        <v>#REF!</v>
      </c>
      <c r="F53" s="125"/>
      <c r="G53" s="93"/>
      <c r="H53" s="86"/>
      <c r="I53" s="86"/>
      <c r="J53" s="86"/>
      <c r="K53" s="109"/>
      <c r="L53" s="131">
        <f t="shared" si="2"/>
        <v>0</v>
      </c>
      <c r="M53" s="86" t="e">
        <f>('QUADRO II'!#REF!)</f>
        <v>#REF!</v>
      </c>
      <c r="N53" s="253"/>
      <c r="O53" s="86" t="e">
        <f t="shared" si="3"/>
        <v>#REF!</v>
      </c>
      <c r="P53" s="202"/>
    </row>
    <row r="54" spans="1:16" ht="12" customHeight="1" x14ac:dyDescent="0.25">
      <c r="A54" s="200"/>
      <c r="B54" s="24" t="e">
        <f>('QUADRO II'!#REF!)</f>
        <v>#REF!</v>
      </c>
      <c r="C54" s="109" t="e">
        <f>('QUADRO II'!#REF!)</f>
        <v>#REF!</v>
      </c>
      <c r="D54" s="86" t="e">
        <f>'QUADRO III'!L32*0.0161290322580645</f>
        <v>#VALUE!</v>
      </c>
      <c r="E54" s="327" t="e">
        <f>('QUADRO II'!#REF!)</f>
        <v>#REF!</v>
      </c>
      <c r="F54" s="125"/>
      <c r="G54" s="93"/>
      <c r="H54" s="86"/>
      <c r="I54" s="86"/>
      <c r="J54" s="86"/>
      <c r="K54" s="109"/>
      <c r="L54" s="131">
        <f t="shared" si="2"/>
        <v>0</v>
      </c>
      <c r="M54" s="86" t="e">
        <f>('QUADRO II'!#REF!)</f>
        <v>#REF!</v>
      </c>
      <c r="N54" s="253"/>
      <c r="O54" s="86" t="e">
        <f t="shared" si="3"/>
        <v>#REF!</v>
      </c>
      <c r="P54" s="202"/>
    </row>
    <row r="55" spans="1:16" ht="12" customHeight="1" x14ac:dyDescent="0.25">
      <c r="A55" s="200"/>
      <c r="B55" s="24" t="e">
        <f>('QUADRO II'!#REF!)</f>
        <v>#REF!</v>
      </c>
      <c r="C55" s="109" t="e">
        <f>('QUADRO II'!#REF!)</f>
        <v>#REF!</v>
      </c>
      <c r="D55" s="86" t="e">
        <f>'QUADRO III'!L32*0.0161290322580645</f>
        <v>#VALUE!</v>
      </c>
      <c r="E55" s="327" t="e">
        <f>('QUADRO II'!#REF!)</f>
        <v>#REF!</v>
      </c>
      <c r="F55" s="125"/>
      <c r="G55" s="93"/>
      <c r="H55" s="86"/>
      <c r="I55" s="86"/>
      <c r="J55" s="86"/>
      <c r="K55" s="109"/>
      <c r="L55" s="131">
        <f t="shared" si="2"/>
        <v>0</v>
      </c>
      <c r="M55" s="86" t="e">
        <f>('QUADRO II'!#REF!)</f>
        <v>#REF!</v>
      </c>
      <c r="N55" s="253"/>
      <c r="O55" s="86" t="e">
        <f t="shared" si="3"/>
        <v>#REF!</v>
      </c>
      <c r="P55" s="202"/>
    </row>
    <row r="56" spans="1:16" ht="12" customHeight="1" x14ac:dyDescent="0.25">
      <c r="A56" s="200"/>
      <c r="B56" s="24" t="e">
        <f>('QUADRO II'!#REF!)</f>
        <v>#REF!</v>
      </c>
      <c r="C56" s="109" t="e">
        <f>('QUADRO II'!#REF!)</f>
        <v>#REF!</v>
      </c>
      <c r="D56" s="86" t="e">
        <f>'QUADRO III'!L32*0.0161290322580645</f>
        <v>#VALUE!</v>
      </c>
      <c r="E56" s="327" t="e">
        <f>('QUADRO II'!#REF!)</f>
        <v>#REF!</v>
      </c>
      <c r="F56" s="125"/>
      <c r="G56" s="93"/>
      <c r="H56" s="86"/>
      <c r="I56" s="86"/>
      <c r="J56" s="86"/>
      <c r="K56" s="109"/>
      <c r="L56" s="131">
        <f t="shared" si="2"/>
        <v>0</v>
      </c>
      <c r="M56" s="86" t="e">
        <f>('QUADRO II'!#REF!)</f>
        <v>#REF!</v>
      </c>
      <c r="N56" s="253"/>
      <c r="O56" s="86" t="e">
        <f t="shared" si="3"/>
        <v>#REF!</v>
      </c>
      <c r="P56" s="202"/>
    </row>
    <row r="57" spans="1:16" ht="12" customHeight="1" x14ac:dyDescent="0.25">
      <c r="A57" s="200"/>
      <c r="B57" s="24" t="e">
        <f>('QUADRO II'!#REF!)</f>
        <v>#REF!</v>
      </c>
      <c r="C57" s="109" t="e">
        <f>('QUADRO II'!#REF!)</f>
        <v>#REF!</v>
      </c>
      <c r="D57" s="86" t="e">
        <f>'QUADRO III'!L32*0.0161290322580645</f>
        <v>#VALUE!</v>
      </c>
      <c r="E57" s="327" t="e">
        <f>('QUADRO II'!#REF!)</f>
        <v>#REF!</v>
      </c>
      <c r="F57" s="125"/>
      <c r="G57" s="93"/>
      <c r="H57" s="86"/>
      <c r="I57" s="86"/>
      <c r="J57" s="86"/>
      <c r="K57" s="109"/>
      <c r="L57" s="131">
        <f t="shared" si="2"/>
        <v>0</v>
      </c>
      <c r="M57" s="86" t="e">
        <f>('QUADRO II'!#REF!)</f>
        <v>#REF!</v>
      </c>
      <c r="N57" s="253"/>
      <c r="O57" s="86" t="e">
        <f t="shared" si="3"/>
        <v>#REF!</v>
      </c>
      <c r="P57" s="202"/>
    </row>
    <row r="58" spans="1:16" ht="12" customHeight="1" x14ac:dyDescent="0.25">
      <c r="A58" s="200"/>
      <c r="B58" s="24" t="e">
        <f>('QUADRO II'!#REF!)</f>
        <v>#REF!</v>
      </c>
      <c r="C58" s="109" t="e">
        <f>('QUADRO II'!#REF!)</f>
        <v>#REF!</v>
      </c>
      <c r="D58" s="86" t="e">
        <f>'QUADRO III'!L32*0.0161290322580645</f>
        <v>#VALUE!</v>
      </c>
      <c r="E58" s="327" t="e">
        <f>('QUADRO II'!#REF!)</f>
        <v>#REF!</v>
      </c>
      <c r="F58" s="125"/>
      <c r="G58" s="93"/>
      <c r="H58" s="86"/>
      <c r="I58" s="86"/>
      <c r="J58" s="86"/>
      <c r="K58" s="109"/>
      <c r="L58" s="131">
        <f t="shared" si="2"/>
        <v>0</v>
      </c>
      <c r="M58" s="86" t="e">
        <f>('QUADRO II'!#REF!)</f>
        <v>#REF!</v>
      </c>
      <c r="N58" s="253"/>
      <c r="O58" s="86" t="e">
        <f t="shared" si="3"/>
        <v>#REF!</v>
      </c>
      <c r="P58" s="202"/>
    </row>
    <row r="59" spans="1:16" ht="12" customHeight="1" x14ac:dyDescent="0.25">
      <c r="A59" s="200"/>
      <c r="B59" s="24" t="e">
        <f>('QUADRO II'!#REF!)</f>
        <v>#REF!</v>
      </c>
      <c r="C59" s="109" t="e">
        <f>('QUADRO II'!#REF!)</f>
        <v>#REF!</v>
      </c>
      <c r="D59" s="86" t="e">
        <f>'QUADRO III'!L32*0.0161290322580645</f>
        <v>#VALUE!</v>
      </c>
      <c r="E59" s="327" t="e">
        <f>('QUADRO II'!#REF!)</f>
        <v>#REF!</v>
      </c>
      <c r="F59" s="125"/>
      <c r="G59" s="93"/>
      <c r="H59" s="86"/>
      <c r="I59" s="86"/>
      <c r="J59" s="86"/>
      <c r="K59" s="109"/>
      <c r="L59" s="131">
        <f t="shared" si="2"/>
        <v>0</v>
      </c>
      <c r="M59" s="86" t="e">
        <f>('QUADRO II'!#REF!)</f>
        <v>#REF!</v>
      </c>
      <c r="N59" s="253"/>
      <c r="O59" s="86" t="e">
        <f t="shared" si="3"/>
        <v>#REF!</v>
      </c>
      <c r="P59" s="202"/>
    </row>
    <row r="60" spans="1:16" ht="12" customHeight="1" x14ac:dyDescent="0.25">
      <c r="A60" s="200"/>
      <c r="B60" s="24" t="e">
        <f>('QUADRO II'!#REF!)</f>
        <v>#REF!</v>
      </c>
      <c r="C60" s="109" t="e">
        <f>('QUADRO II'!#REF!)</f>
        <v>#REF!</v>
      </c>
      <c r="D60" s="86" t="e">
        <f>'QUADRO III'!L32*0.0161290322580645</f>
        <v>#VALUE!</v>
      </c>
      <c r="E60" s="327" t="e">
        <f>('QUADRO II'!#REF!)</f>
        <v>#REF!</v>
      </c>
      <c r="F60" s="125"/>
      <c r="G60" s="93"/>
      <c r="H60" s="86"/>
      <c r="I60" s="86"/>
      <c r="J60" s="86"/>
      <c r="K60" s="109"/>
      <c r="L60" s="131">
        <f t="shared" si="2"/>
        <v>0</v>
      </c>
      <c r="M60" s="86" t="e">
        <f>('QUADRO II'!#REF!)</f>
        <v>#REF!</v>
      </c>
      <c r="N60" s="253"/>
      <c r="O60" s="86" t="e">
        <f t="shared" si="3"/>
        <v>#REF!</v>
      </c>
      <c r="P60" s="202"/>
    </row>
    <row r="61" spans="1:16" ht="12" customHeight="1" x14ac:dyDescent="0.25">
      <c r="A61" s="200"/>
      <c r="B61" s="24" t="e">
        <f>('QUADRO II'!#REF!)</f>
        <v>#REF!</v>
      </c>
      <c r="C61" s="109" t="e">
        <f>('QUADRO II'!#REF!)</f>
        <v>#REF!</v>
      </c>
      <c r="D61" s="86" t="e">
        <f>'QUADRO III'!L32*0.0161290322580645</f>
        <v>#VALUE!</v>
      </c>
      <c r="E61" s="327" t="e">
        <f>('QUADRO II'!#REF!)</f>
        <v>#REF!</v>
      </c>
      <c r="F61" s="125"/>
      <c r="G61" s="93"/>
      <c r="H61" s="86"/>
      <c r="I61" s="86"/>
      <c r="J61" s="86"/>
      <c r="K61" s="109"/>
      <c r="L61" s="131">
        <f t="shared" si="2"/>
        <v>0</v>
      </c>
      <c r="M61" s="86" t="e">
        <f>('QUADRO II'!#REF!)</f>
        <v>#REF!</v>
      </c>
      <c r="N61" s="253"/>
      <c r="O61" s="86" t="e">
        <f t="shared" si="3"/>
        <v>#REF!</v>
      </c>
      <c r="P61" s="202"/>
    </row>
    <row r="62" spans="1:16" ht="12" customHeight="1" x14ac:dyDescent="0.25">
      <c r="A62" s="200"/>
      <c r="B62" s="24" t="e">
        <f>('QUADRO II'!#REF!)</f>
        <v>#REF!</v>
      </c>
      <c r="C62" s="109" t="e">
        <f>('QUADRO II'!#REF!)</f>
        <v>#REF!</v>
      </c>
      <c r="D62" s="86" t="e">
        <f>'QUADRO III'!L32*0.0161290322580645</f>
        <v>#VALUE!</v>
      </c>
      <c r="E62" s="327" t="e">
        <f>('QUADRO II'!#REF!)</f>
        <v>#REF!</v>
      </c>
      <c r="F62" s="125"/>
      <c r="G62" s="93"/>
      <c r="H62" s="86"/>
      <c r="I62" s="86"/>
      <c r="J62" s="86"/>
      <c r="K62" s="109"/>
      <c r="L62" s="131">
        <f t="shared" si="2"/>
        <v>0</v>
      </c>
      <c r="M62" s="86" t="e">
        <f>('QUADRO II'!#REF!)</f>
        <v>#REF!</v>
      </c>
      <c r="N62" s="253"/>
      <c r="O62" s="86" t="e">
        <f t="shared" si="3"/>
        <v>#REF!</v>
      </c>
      <c r="P62" s="202"/>
    </row>
    <row r="63" spans="1:16" ht="12" customHeight="1" x14ac:dyDescent="0.25">
      <c r="A63" s="200"/>
      <c r="B63" s="24" t="e">
        <f>('QUADRO II'!#REF!)</f>
        <v>#REF!</v>
      </c>
      <c r="C63" s="109" t="e">
        <f>('QUADRO II'!#REF!)</f>
        <v>#REF!</v>
      </c>
      <c r="D63" s="86" t="e">
        <f>'QUADRO III'!L32*0.0161290322580645</f>
        <v>#VALUE!</v>
      </c>
      <c r="E63" s="327" t="e">
        <f>('QUADRO II'!#REF!)</f>
        <v>#REF!</v>
      </c>
      <c r="F63" s="125"/>
      <c r="G63" s="93"/>
      <c r="H63" s="86"/>
      <c r="I63" s="86"/>
      <c r="J63" s="86"/>
      <c r="K63" s="109"/>
      <c r="L63" s="131">
        <f t="shared" si="2"/>
        <v>0</v>
      </c>
      <c r="M63" s="86" t="e">
        <f>('QUADRO II'!#REF!)</f>
        <v>#REF!</v>
      </c>
      <c r="N63" s="253"/>
      <c r="O63" s="86" t="e">
        <f t="shared" si="3"/>
        <v>#REF!</v>
      </c>
      <c r="P63" s="202"/>
    </row>
    <row r="64" spans="1:16" ht="12" customHeight="1" x14ac:dyDescent="0.25">
      <c r="A64" s="200"/>
      <c r="B64" s="24" t="e">
        <f>('QUADRO II'!#REF!)</f>
        <v>#REF!</v>
      </c>
      <c r="C64" s="109" t="e">
        <f>('QUADRO II'!#REF!)</f>
        <v>#REF!</v>
      </c>
      <c r="D64" s="86" t="e">
        <f>'QUADRO III'!L32*0.0161290322580645</f>
        <v>#VALUE!</v>
      </c>
      <c r="E64" s="327" t="e">
        <f>('QUADRO II'!#REF!)</f>
        <v>#REF!</v>
      </c>
      <c r="F64" s="125"/>
      <c r="G64" s="93"/>
      <c r="H64" s="86"/>
      <c r="I64" s="86"/>
      <c r="J64" s="86"/>
      <c r="K64" s="109"/>
      <c r="L64" s="131">
        <f t="shared" si="2"/>
        <v>0</v>
      </c>
      <c r="M64" s="86" t="e">
        <f>('QUADRO II'!#REF!)</f>
        <v>#REF!</v>
      </c>
      <c r="N64" s="253"/>
      <c r="O64" s="86" t="e">
        <f t="shared" si="3"/>
        <v>#REF!</v>
      </c>
      <c r="P64" s="202"/>
    </row>
    <row r="65" spans="1:16" ht="12" customHeight="1" x14ac:dyDescent="0.25">
      <c r="A65" s="200"/>
      <c r="B65" s="24" t="e">
        <f>('QUADRO II'!#REF!)</f>
        <v>#REF!</v>
      </c>
      <c r="C65" s="109" t="e">
        <f>('QUADRO II'!#REF!)</f>
        <v>#REF!</v>
      </c>
      <c r="D65" s="86" t="e">
        <f>'QUADRO III'!L32*0.0161290322580645</f>
        <v>#VALUE!</v>
      </c>
      <c r="E65" s="327" t="e">
        <f>('QUADRO II'!#REF!)</f>
        <v>#REF!</v>
      </c>
      <c r="F65" s="125"/>
      <c r="G65" s="93"/>
      <c r="H65" s="86"/>
      <c r="I65" s="86"/>
      <c r="J65" s="86"/>
      <c r="K65" s="109"/>
      <c r="L65" s="131">
        <f t="shared" si="2"/>
        <v>0</v>
      </c>
      <c r="M65" s="86" t="e">
        <f>('QUADRO II'!#REF!)</f>
        <v>#REF!</v>
      </c>
      <c r="N65" s="253"/>
      <c r="O65" s="86" t="e">
        <f t="shared" si="3"/>
        <v>#REF!</v>
      </c>
      <c r="P65" s="202"/>
    </row>
    <row r="66" spans="1:16" ht="12" customHeight="1" x14ac:dyDescent="0.25">
      <c r="A66" s="200"/>
      <c r="B66" s="24" t="e">
        <f>('QUADRO II'!#REF!)</f>
        <v>#REF!</v>
      </c>
      <c r="C66" s="109" t="e">
        <f>('QUADRO II'!#REF!)</f>
        <v>#REF!</v>
      </c>
      <c r="D66" s="86" t="e">
        <f>'QUADRO III'!L32*0.0161290322580645</f>
        <v>#VALUE!</v>
      </c>
      <c r="E66" s="327" t="e">
        <f>('QUADRO II'!#REF!)</f>
        <v>#REF!</v>
      </c>
      <c r="F66" s="125"/>
      <c r="G66" s="93"/>
      <c r="H66" s="86"/>
      <c r="I66" s="86"/>
      <c r="J66" s="86"/>
      <c r="K66" s="109"/>
      <c r="L66" s="131">
        <f t="shared" si="2"/>
        <v>0</v>
      </c>
      <c r="M66" s="86" t="e">
        <f>('QUADRO II'!#REF!)</f>
        <v>#REF!</v>
      </c>
      <c r="N66" s="253"/>
      <c r="O66" s="86" t="e">
        <f t="shared" si="3"/>
        <v>#REF!</v>
      </c>
      <c r="P66" s="202"/>
    </row>
    <row r="67" spans="1:16" ht="12" customHeight="1" x14ac:dyDescent="0.25">
      <c r="A67" s="200"/>
      <c r="B67" s="24" t="e">
        <f>('QUADRO II'!#REF!)</f>
        <v>#REF!</v>
      </c>
      <c r="C67" s="109" t="e">
        <f>('QUADRO II'!#REF!)</f>
        <v>#REF!</v>
      </c>
      <c r="D67" s="86" t="e">
        <f>'QUADRO III'!L32*0.0161290322580645</f>
        <v>#VALUE!</v>
      </c>
      <c r="E67" s="327" t="e">
        <f>('QUADRO II'!#REF!)</f>
        <v>#REF!</v>
      </c>
      <c r="F67" s="125"/>
      <c r="G67" s="93"/>
      <c r="H67" s="86"/>
      <c r="I67" s="86"/>
      <c r="J67" s="86"/>
      <c r="K67" s="109"/>
      <c r="L67" s="131">
        <f t="shared" si="2"/>
        <v>0</v>
      </c>
      <c r="M67" s="86" t="e">
        <f>('QUADRO II'!#REF!)</f>
        <v>#REF!</v>
      </c>
      <c r="N67" s="253"/>
      <c r="O67" s="86" t="e">
        <f t="shared" si="3"/>
        <v>#REF!</v>
      </c>
      <c r="P67" s="202"/>
    </row>
    <row r="68" spans="1:16" ht="12" customHeight="1" x14ac:dyDescent="0.25">
      <c r="A68" s="200"/>
      <c r="B68" s="24" t="e">
        <f>('QUADRO II'!#REF!)</f>
        <v>#REF!</v>
      </c>
      <c r="C68" s="109" t="e">
        <f>('QUADRO II'!#REF!)</f>
        <v>#REF!</v>
      </c>
      <c r="D68" s="86" t="e">
        <f>'QUADRO III'!L32*0.0161290322580645</f>
        <v>#VALUE!</v>
      </c>
      <c r="E68" s="327" t="e">
        <f>('QUADRO II'!#REF!)</f>
        <v>#REF!</v>
      </c>
      <c r="F68" s="125"/>
      <c r="G68" s="93"/>
      <c r="H68" s="86"/>
      <c r="I68" s="86"/>
      <c r="J68" s="86"/>
      <c r="K68" s="109"/>
      <c r="L68" s="131">
        <f t="shared" si="2"/>
        <v>0</v>
      </c>
      <c r="M68" s="86" t="e">
        <f>('QUADRO II'!#REF!)</f>
        <v>#REF!</v>
      </c>
      <c r="N68" s="253"/>
      <c r="O68" s="86" t="e">
        <f t="shared" si="3"/>
        <v>#REF!</v>
      </c>
      <c r="P68" s="202"/>
    </row>
    <row r="69" spans="1:16" ht="12" customHeight="1" x14ac:dyDescent="0.25">
      <c r="A69" s="200"/>
      <c r="B69" s="24" t="e">
        <f>('QUADRO II'!#REF!)</f>
        <v>#REF!</v>
      </c>
      <c r="C69" s="109" t="e">
        <f>('QUADRO II'!#REF!)</f>
        <v>#REF!</v>
      </c>
      <c r="D69" s="86" t="e">
        <f>'QUADRO III'!L32*0.0161290322580645</f>
        <v>#VALUE!</v>
      </c>
      <c r="E69" s="327" t="e">
        <f>('QUADRO II'!#REF!)</f>
        <v>#REF!</v>
      </c>
      <c r="F69" s="125"/>
      <c r="G69" s="93"/>
      <c r="H69" s="86"/>
      <c r="I69" s="86"/>
      <c r="J69" s="86"/>
      <c r="K69" s="109"/>
      <c r="L69" s="131">
        <f t="shared" si="2"/>
        <v>0</v>
      </c>
      <c r="M69" s="86" t="e">
        <f>('QUADRO II'!#REF!)</f>
        <v>#REF!</v>
      </c>
      <c r="N69" s="253"/>
      <c r="O69" s="86" t="e">
        <f t="shared" si="3"/>
        <v>#REF!</v>
      </c>
      <c r="P69" s="202"/>
    </row>
    <row r="70" spans="1:16" ht="12" customHeight="1" x14ac:dyDescent="0.25">
      <c r="A70" s="200"/>
      <c r="B70" s="24" t="e">
        <f>('QUADRO II'!#REF!)</f>
        <v>#REF!</v>
      </c>
      <c r="C70" s="109" t="e">
        <f>('QUADRO II'!#REF!)</f>
        <v>#REF!</v>
      </c>
      <c r="D70" s="86" t="e">
        <f>'QUADRO III'!L32*0.0161290322580645</f>
        <v>#VALUE!</v>
      </c>
      <c r="E70" s="327" t="e">
        <f>('QUADRO II'!#REF!)</f>
        <v>#REF!</v>
      </c>
      <c r="F70" s="125"/>
      <c r="G70" s="93"/>
      <c r="H70" s="86"/>
      <c r="I70" s="86"/>
      <c r="J70" s="86"/>
      <c r="K70" s="109"/>
      <c r="L70" s="131">
        <f t="shared" si="2"/>
        <v>0</v>
      </c>
      <c r="M70" s="86" t="e">
        <f>('QUADRO II'!#REF!)</f>
        <v>#REF!</v>
      </c>
      <c r="N70" s="253"/>
      <c r="O70" s="86" t="e">
        <f t="shared" si="3"/>
        <v>#REF!</v>
      </c>
      <c r="P70" s="202"/>
    </row>
    <row r="71" spans="1:16" ht="12" customHeight="1" x14ac:dyDescent="0.25">
      <c r="A71" s="200"/>
      <c r="B71" s="24" t="e">
        <f>('QUADRO II'!#REF!)</f>
        <v>#REF!</v>
      </c>
      <c r="C71" s="109" t="e">
        <f>('QUADRO II'!#REF!)</f>
        <v>#REF!</v>
      </c>
      <c r="D71" s="86" t="e">
        <f>'QUADRO III'!L32*0.0161290322580645</f>
        <v>#VALUE!</v>
      </c>
      <c r="E71" s="327" t="e">
        <f>('QUADRO II'!#REF!)</f>
        <v>#REF!</v>
      </c>
      <c r="F71" s="125"/>
      <c r="G71" s="93"/>
      <c r="H71" s="86"/>
      <c r="I71" s="86"/>
      <c r="J71" s="86"/>
      <c r="K71" s="109"/>
      <c r="L71" s="131">
        <f t="shared" si="2"/>
        <v>0</v>
      </c>
      <c r="M71" s="86" t="e">
        <f>('QUADRO II'!#REF!)</f>
        <v>#REF!</v>
      </c>
      <c r="N71" s="253"/>
      <c r="O71" s="86" t="e">
        <f t="shared" si="3"/>
        <v>#REF!</v>
      </c>
      <c r="P71" s="202"/>
    </row>
    <row r="72" spans="1:16" ht="12" customHeight="1" x14ac:dyDescent="0.25">
      <c r="A72" s="200"/>
      <c r="B72" s="24" t="e">
        <f>('QUADRO II'!#REF!)</f>
        <v>#REF!</v>
      </c>
      <c r="C72" s="109" t="e">
        <f>('QUADRO II'!#REF!)</f>
        <v>#REF!</v>
      </c>
      <c r="D72" s="86" t="e">
        <f>'QUADRO III'!L32*0.0161290322580645</f>
        <v>#VALUE!</v>
      </c>
      <c r="E72" s="327" t="e">
        <f>('QUADRO II'!#REF!)</f>
        <v>#REF!</v>
      </c>
      <c r="F72" s="125"/>
      <c r="G72" s="93"/>
      <c r="H72" s="86"/>
      <c r="I72" s="86"/>
      <c r="J72" s="86"/>
      <c r="K72" s="109"/>
      <c r="L72" s="131">
        <f t="shared" si="2"/>
        <v>0</v>
      </c>
      <c r="M72" s="86" t="e">
        <f>('QUADRO II'!#REF!)</f>
        <v>#REF!</v>
      </c>
      <c r="N72" s="253"/>
      <c r="O72" s="86" t="e">
        <f t="shared" si="3"/>
        <v>#REF!</v>
      </c>
      <c r="P72" s="202"/>
    </row>
    <row r="73" spans="1:16" ht="12" customHeight="1" x14ac:dyDescent="0.25">
      <c r="A73" s="200"/>
      <c r="B73" s="24" t="e">
        <f>('QUADRO II'!#REF!)</f>
        <v>#REF!</v>
      </c>
      <c r="C73" s="109" t="e">
        <f>('QUADRO II'!#REF!)</f>
        <v>#REF!</v>
      </c>
      <c r="D73" s="86" t="e">
        <f>'QUADRO III'!L32*0.0161290322580645</f>
        <v>#VALUE!</v>
      </c>
      <c r="E73" s="327" t="e">
        <f>('QUADRO II'!#REF!)</f>
        <v>#REF!</v>
      </c>
      <c r="F73" s="125"/>
      <c r="G73" s="93"/>
      <c r="H73" s="86"/>
      <c r="I73" s="86"/>
      <c r="J73" s="86"/>
      <c r="K73" s="109"/>
      <c r="L73" s="131">
        <f t="shared" si="2"/>
        <v>0</v>
      </c>
      <c r="M73" s="86" t="e">
        <f>('QUADRO II'!#REF!)</f>
        <v>#REF!</v>
      </c>
      <c r="N73" s="253"/>
      <c r="O73" s="86" t="e">
        <f t="shared" si="3"/>
        <v>#REF!</v>
      </c>
      <c r="P73" s="202"/>
    </row>
    <row r="74" spans="1:16" ht="12" customHeight="1" x14ac:dyDescent="0.25">
      <c r="A74" s="200"/>
      <c r="B74" s="24" t="e">
        <f>('QUADRO II'!#REF!)</f>
        <v>#REF!</v>
      </c>
      <c r="C74" s="109" t="e">
        <f>('QUADRO II'!#REF!)</f>
        <v>#REF!</v>
      </c>
      <c r="D74" s="86" t="e">
        <f>'QUADRO III'!L32*0.0161290322580645</f>
        <v>#VALUE!</v>
      </c>
      <c r="E74" s="327" t="e">
        <f>('QUADRO II'!#REF!)</f>
        <v>#REF!</v>
      </c>
      <c r="F74" s="125"/>
      <c r="G74" s="93"/>
      <c r="H74" s="86"/>
      <c r="I74" s="86"/>
      <c r="J74" s="86"/>
      <c r="K74" s="109"/>
      <c r="L74" s="131">
        <f t="shared" si="2"/>
        <v>0</v>
      </c>
      <c r="M74" s="86" t="e">
        <f>('QUADRO II'!#REF!)</f>
        <v>#REF!</v>
      </c>
      <c r="N74" s="253"/>
      <c r="O74" s="86" t="e">
        <f t="shared" si="3"/>
        <v>#REF!</v>
      </c>
      <c r="P74" s="202"/>
    </row>
    <row r="75" spans="1:16" ht="12" customHeight="1" x14ac:dyDescent="0.25">
      <c r="A75" s="200"/>
      <c r="B75" s="24" t="e">
        <f>('QUADRO II'!#REF!)</f>
        <v>#REF!</v>
      </c>
      <c r="C75" s="109" t="e">
        <f>('QUADRO II'!#REF!)</f>
        <v>#REF!</v>
      </c>
      <c r="D75" s="86" t="e">
        <f>'QUADRO III'!L32*0.0161290322580645</f>
        <v>#VALUE!</v>
      </c>
      <c r="E75" s="327" t="e">
        <f>('QUADRO II'!#REF!)</f>
        <v>#REF!</v>
      </c>
      <c r="F75" s="125"/>
      <c r="G75" s="93"/>
      <c r="H75" s="86"/>
      <c r="I75" s="86"/>
      <c r="J75" s="86"/>
      <c r="K75" s="109"/>
      <c r="L75" s="131">
        <f t="shared" si="2"/>
        <v>0</v>
      </c>
      <c r="M75" s="86" t="e">
        <f>('QUADRO II'!#REF!)</f>
        <v>#REF!</v>
      </c>
      <c r="N75" s="253"/>
      <c r="O75" s="86" t="e">
        <f t="shared" si="3"/>
        <v>#REF!</v>
      </c>
      <c r="P75" s="202"/>
    </row>
    <row r="76" spans="1:16" ht="13.2" customHeight="1" x14ac:dyDescent="0.25">
      <c r="A76" s="200"/>
      <c r="B76" s="136" t="s">
        <v>145</v>
      </c>
      <c r="C76" s="87" t="e">
        <f>SUM(C14:C75)</f>
        <v>#VALUE!</v>
      </c>
      <c r="D76" s="87" t="e">
        <f>SUM(D14:D75)</f>
        <v>#VALUE!</v>
      </c>
      <c r="E76" s="317" t="e">
        <f>SUM(E14:E75)</f>
        <v>#DIV/0!</v>
      </c>
      <c r="F76" s="126" t="e">
        <f>SUMPRODUCT(F14:F75,$O14:$O75)</f>
        <v>#REF!</v>
      </c>
      <c r="G76" s="110"/>
      <c r="H76" s="87"/>
      <c r="I76" s="87"/>
      <c r="J76" s="87"/>
      <c r="K76" s="87"/>
      <c r="L76" s="132"/>
      <c r="M76" s="127" t="e">
        <f>SUM(M14:M75)</f>
        <v>#REF!</v>
      </c>
      <c r="N76" s="87"/>
      <c r="O76" s="87" t="e">
        <f>SUM(O14:O75)</f>
        <v>#REF!</v>
      </c>
      <c r="P76" s="202"/>
    </row>
    <row r="77" spans="1:16" ht="13.2" customHeight="1" x14ac:dyDescent="0.25">
      <c r="A77" s="249"/>
      <c r="B77" s="79" t="s">
        <v>289</v>
      </c>
      <c r="C77" s="27"/>
      <c r="D77" s="27"/>
      <c r="E77" s="27"/>
      <c r="F77" s="27"/>
      <c r="G77" s="27"/>
      <c r="H77" s="27"/>
      <c r="I77" s="27"/>
      <c r="J77" s="27"/>
      <c r="K77" s="111"/>
      <c r="L77" s="112"/>
      <c r="M77" s="112"/>
      <c r="N77" s="112"/>
      <c r="O77" s="28"/>
      <c r="P77" s="202"/>
    </row>
    <row r="78" spans="1:16" ht="12" customHeight="1" x14ac:dyDescent="0.25">
      <c r="A78" s="200"/>
      <c r="B78" s="46" t="s">
        <v>290</v>
      </c>
      <c r="C78" s="27"/>
      <c r="D78" s="27"/>
      <c r="E78" s="27"/>
      <c r="F78" s="27"/>
      <c r="G78" s="27"/>
      <c r="H78" s="27"/>
      <c r="I78" s="27"/>
      <c r="J78" s="27"/>
      <c r="K78" s="111"/>
      <c r="L78" s="112"/>
      <c r="M78" s="112"/>
      <c r="N78" s="112"/>
      <c r="O78" s="28"/>
      <c r="P78" s="202"/>
    </row>
    <row r="79" spans="1:16" ht="12" customHeight="1" x14ac:dyDescent="0.25">
      <c r="A79" s="200"/>
      <c r="B79" s="12" t="s">
        <v>291</v>
      </c>
      <c r="K79" s="42"/>
      <c r="O79" s="4"/>
      <c r="P79" s="202"/>
    </row>
    <row r="80" spans="1:16" ht="12" customHeight="1" x14ac:dyDescent="0.25">
      <c r="A80" s="200"/>
      <c r="B80" s="12" t="s">
        <v>292</v>
      </c>
      <c r="K80" s="42"/>
      <c r="O80" s="4"/>
      <c r="P80" s="202"/>
    </row>
    <row r="81" spans="1:16" ht="12" customHeight="1" x14ac:dyDescent="0.25">
      <c r="A81" s="200"/>
      <c r="B81" s="21" t="s">
        <v>293</v>
      </c>
      <c r="C81" s="2"/>
      <c r="D81" s="2"/>
      <c r="E81" s="2"/>
      <c r="F81" s="2"/>
      <c r="G81" s="2"/>
      <c r="H81" s="2"/>
      <c r="I81" s="2"/>
      <c r="J81" s="2"/>
      <c r="K81" s="59"/>
      <c r="L81" s="2"/>
      <c r="M81" s="2"/>
      <c r="N81" s="2"/>
      <c r="O81" s="3"/>
      <c r="P81" s="202"/>
    </row>
    <row r="82" spans="1:16" ht="10.8" customHeight="1" thickBot="1" x14ac:dyDescent="0.3">
      <c r="A82" s="203"/>
      <c r="B82" s="256"/>
      <c r="C82" s="256"/>
      <c r="D82" s="256"/>
      <c r="E82" s="256"/>
      <c r="F82" s="256"/>
      <c r="G82" s="256"/>
      <c r="H82" s="256"/>
      <c r="I82" s="256"/>
      <c r="J82" s="256"/>
      <c r="K82" s="257"/>
      <c r="L82" s="256"/>
      <c r="M82" s="256"/>
      <c r="N82" s="256"/>
      <c r="O82" s="256"/>
      <c r="P82" s="204"/>
    </row>
    <row r="83" spans="1:16" ht="10.8" customHeight="1" thickTop="1" x14ac:dyDescent="0.25">
      <c r="K83" s="42"/>
    </row>
    <row r="84" spans="1:16" x14ac:dyDescent="0.25">
      <c r="K84" s="42"/>
    </row>
    <row r="85" spans="1:16" x14ac:dyDescent="0.25">
      <c r="K85" s="42"/>
    </row>
    <row r="86" spans="1:16" x14ac:dyDescent="0.25">
      <c r="K86" s="42"/>
    </row>
    <row r="87" spans="1:16" x14ac:dyDescent="0.25">
      <c r="K87" s="42"/>
    </row>
    <row r="88" spans="1:16" x14ac:dyDescent="0.25">
      <c r="K88" s="42"/>
    </row>
    <row r="89" spans="1:16" x14ac:dyDescent="0.25">
      <c r="K89" s="42"/>
    </row>
    <row r="90" spans="1:16" x14ac:dyDescent="0.25">
      <c r="K90" s="42"/>
    </row>
    <row r="91" spans="1:16" x14ac:dyDescent="0.25">
      <c r="K91" s="42"/>
    </row>
    <row r="92" spans="1:16" x14ac:dyDescent="0.25">
      <c r="K92" s="42"/>
    </row>
    <row r="93" spans="1:16" x14ac:dyDescent="0.25">
      <c r="K93" s="42"/>
    </row>
    <row r="94" spans="1:16" x14ac:dyDescent="0.25">
      <c r="K94" s="42"/>
    </row>
    <row r="95" spans="1:16" x14ac:dyDescent="0.25">
      <c r="K95" s="42"/>
    </row>
    <row r="96" spans="1:16" x14ac:dyDescent="0.25">
      <c r="K96" s="42"/>
    </row>
    <row r="97" spans="11:11" x14ac:dyDescent="0.25">
      <c r="K97" s="42"/>
    </row>
    <row r="98" spans="11:11" x14ac:dyDescent="0.25">
      <c r="K98" s="42"/>
    </row>
    <row r="99" spans="11:11" x14ac:dyDescent="0.25">
      <c r="K99" s="42"/>
    </row>
    <row r="100" spans="11:11" x14ac:dyDescent="0.25">
      <c r="K100" s="42"/>
    </row>
    <row r="101" spans="11:11" x14ac:dyDescent="0.25">
      <c r="K101" s="42"/>
    </row>
    <row r="102" spans="11:11" x14ac:dyDescent="0.25">
      <c r="K102" s="42"/>
    </row>
    <row r="103" spans="11:11" x14ac:dyDescent="0.25">
      <c r="K103" s="42"/>
    </row>
    <row r="104" spans="11:11" x14ac:dyDescent="0.25">
      <c r="K104" s="42"/>
    </row>
    <row r="105" spans="11:11" x14ac:dyDescent="0.25">
      <c r="K105" s="42"/>
    </row>
    <row r="106" spans="11:11" x14ac:dyDescent="0.25">
      <c r="K106" s="42"/>
    </row>
    <row r="107" spans="11:11" x14ac:dyDescent="0.25">
      <c r="K107" s="42"/>
    </row>
    <row r="108" spans="11:11" x14ac:dyDescent="0.25">
      <c r="K108" s="42"/>
    </row>
    <row r="109" spans="11:11" x14ac:dyDescent="0.25">
      <c r="K109" s="42"/>
    </row>
    <row r="110" spans="11:11" x14ac:dyDescent="0.25">
      <c r="K110" s="42"/>
    </row>
    <row r="111" spans="11:11" x14ac:dyDescent="0.25">
      <c r="K111" s="42"/>
    </row>
    <row r="112" spans="11:11" x14ac:dyDescent="0.25">
      <c r="K112" s="42"/>
    </row>
    <row r="113" spans="11:11" x14ac:dyDescent="0.25">
      <c r="K113" s="42"/>
    </row>
    <row r="114" spans="11:11" x14ac:dyDescent="0.25">
      <c r="K114" s="42"/>
    </row>
    <row r="115" spans="11:11" x14ac:dyDescent="0.25">
      <c r="K115" s="42"/>
    </row>
    <row r="116" spans="11:11" x14ac:dyDescent="0.25">
      <c r="K116" s="42"/>
    </row>
    <row r="117" spans="11:11" x14ac:dyDescent="0.25">
      <c r="K117" s="42"/>
    </row>
    <row r="118" spans="11:11" x14ac:dyDescent="0.25">
      <c r="K118" s="42"/>
    </row>
    <row r="119" spans="11:11" x14ac:dyDescent="0.25">
      <c r="K119" s="42"/>
    </row>
    <row r="120" spans="11:11" x14ac:dyDescent="0.25">
      <c r="K120" s="42"/>
    </row>
    <row r="121" spans="11:11" x14ac:dyDescent="0.25">
      <c r="K121" s="42"/>
    </row>
    <row r="122" spans="11:11" x14ac:dyDescent="0.25">
      <c r="K122" s="42"/>
    </row>
    <row r="123" spans="11:11" x14ac:dyDescent="0.25">
      <c r="K123" s="42"/>
    </row>
    <row r="124" spans="11:11" x14ac:dyDescent="0.25">
      <c r="K124" s="42"/>
    </row>
    <row r="125" spans="11:11" x14ac:dyDescent="0.25">
      <c r="K125" s="42"/>
    </row>
    <row r="126" spans="11:11" x14ac:dyDescent="0.25">
      <c r="K126" s="42"/>
    </row>
    <row r="127" spans="11:11" x14ac:dyDescent="0.25">
      <c r="K127" s="42"/>
    </row>
    <row r="128" spans="11:11" x14ac:dyDescent="0.25">
      <c r="K128" s="42"/>
    </row>
    <row r="129" spans="11:11" x14ac:dyDescent="0.25">
      <c r="K129" s="42"/>
    </row>
    <row r="130" spans="11:11" x14ac:dyDescent="0.25">
      <c r="K130" s="42"/>
    </row>
    <row r="131" spans="11:11" x14ac:dyDescent="0.25">
      <c r="K131" s="42"/>
    </row>
    <row r="132" spans="11:11" x14ac:dyDescent="0.25">
      <c r="K132" s="42"/>
    </row>
    <row r="133" spans="11:11" x14ac:dyDescent="0.25">
      <c r="K133" s="42"/>
    </row>
    <row r="134" spans="11:11" x14ac:dyDescent="0.25">
      <c r="K134" s="42"/>
    </row>
    <row r="135" spans="11:11" x14ac:dyDescent="0.25">
      <c r="K135" s="42"/>
    </row>
    <row r="136" spans="11:11" x14ac:dyDescent="0.25">
      <c r="K136" s="42"/>
    </row>
    <row r="137" spans="11:11" x14ac:dyDescent="0.25">
      <c r="K137" s="42"/>
    </row>
    <row r="138" spans="11:11" x14ac:dyDescent="0.25">
      <c r="K138" s="42"/>
    </row>
    <row r="139" spans="11:11" x14ac:dyDescent="0.25">
      <c r="K139" s="42"/>
    </row>
    <row r="140" spans="11:11" x14ac:dyDescent="0.25">
      <c r="K140" s="42"/>
    </row>
    <row r="141" spans="11:11" x14ac:dyDescent="0.25">
      <c r="K141" s="42"/>
    </row>
    <row r="142" spans="11:11" x14ac:dyDescent="0.25">
      <c r="K142" s="42"/>
    </row>
    <row r="143" spans="11:11" x14ac:dyDescent="0.25">
      <c r="K143" s="42"/>
    </row>
    <row r="144" spans="11:11" x14ac:dyDescent="0.25">
      <c r="K144" s="42"/>
    </row>
    <row r="145" spans="11:11" x14ac:dyDescent="0.25">
      <c r="K145" s="42"/>
    </row>
    <row r="146" spans="11:11" x14ac:dyDescent="0.25">
      <c r="K146" s="42"/>
    </row>
    <row r="147" spans="11:11" x14ac:dyDescent="0.25">
      <c r="K147" s="42"/>
    </row>
    <row r="148" spans="11:11" x14ac:dyDescent="0.25">
      <c r="K148" s="42"/>
    </row>
    <row r="149" spans="11:11" x14ac:dyDescent="0.25">
      <c r="K149" s="42"/>
    </row>
    <row r="150" spans="11:11" x14ac:dyDescent="0.25">
      <c r="K150" s="42"/>
    </row>
    <row r="151" spans="11:11" x14ac:dyDescent="0.25">
      <c r="K151" s="42"/>
    </row>
    <row r="152" spans="11:11" x14ac:dyDescent="0.25">
      <c r="K152" s="42"/>
    </row>
    <row r="153" spans="11:11" x14ac:dyDescent="0.25">
      <c r="K153" s="42"/>
    </row>
    <row r="154" spans="11:11" x14ac:dyDescent="0.25">
      <c r="K154" s="42"/>
    </row>
    <row r="155" spans="11:11" x14ac:dyDescent="0.25">
      <c r="K155" s="42"/>
    </row>
    <row r="156" spans="11:11" x14ac:dyDescent="0.25">
      <c r="K156" s="42"/>
    </row>
    <row r="157" spans="11:11" x14ac:dyDescent="0.25">
      <c r="K157" s="42"/>
    </row>
    <row r="158" spans="11:11" x14ac:dyDescent="0.25">
      <c r="K158" s="42"/>
    </row>
    <row r="159" spans="11:11" x14ac:dyDescent="0.25">
      <c r="K159" s="42"/>
    </row>
    <row r="160" spans="11:11" x14ac:dyDescent="0.25">
      <c r="K160" s="42"/>
    </row>
    <row r="161" spans="11:11" x14ac:dyDescent="0.25">
      <c r="K161" s="42"/>
    </row>
    <row r="162" spans="11:11" x14ac:dyDescent="0.25">
      <c r="K162" s="42"/>
    </row>
    <row r="163" spans="11:11" x14ac:dyDescent="0.25">
      <c r="K163" s="42"/>
    </row>
    <row r="164" spans="11:11" x14ac:dyDescent="0.25">
      <c r="K164" s="42"/>
    </row>
    <row r="165" spans="11:11" x14ac:dyDescent="0.25">
      <c r="K165" s="42"/>
    </row>
    <row r="166" spans="11:11" x14ac:dyDescent="0.25">
      <c r="K166" s="42"/>
    </row>
    <row r="167" spans="11:11" x14ac:dyDescent="0.25">
      <c r="K167" s="42"/>
    </row>
    <row r="168" spans="11:11" x14ac:dyDescent="0.25">
      <c r="K168" s="42"/>
    </row>
    <row r="169" spans="11:11" x14ac:dyDescent="0.25">
      <c r="K169" s="42"/>
    </row>
    <row r="170" spans="11:11" x14ac:dyDescent="0.25">
      <c r="K170" s="42"/>
    </row>
    <row r="171" spans="11:11" x14ac:dyDescent="0.25">
      <c r="K171" s="42"/>
    </row>
    <row r="172" spans="11:11" x14ac:dyDescent="0.25">
      <c r="K172" s="42"/>
    </row>
    <row r="173" spans="11:11" x14ac:dyDescent="0.25">
      <c r="K173" s="42"/>
    </row>
    <row r="174" spans="11:11" x14ac:dyDescent="0.25">
      <c r="K174" s="42"/>
    </row>
    <row r="175" spans="11:11" x14ac:dyDescent="0.25">
      <c r="K175" s="42"/>
    </row>
    <row r="176" spans="11:11" x14ac:dyDescent="0.25">
      <c r="K176" s="42"/>
    </row>
    <row r="177" spans="11:11" x14ac:dyDescent="0.25">
      <c r="K177" s="42"/>
    </row>
    <row r="178" spans="11:11" x14ac:dyDescent="0.25">
      <c r="K178" s="42"/>
    </row>
    <row r="179" spans="11:11" x14ac:dyDescent="0.25">
      <c r="K179" s="42"/>
    </row>
    <row r="180" spans="11:11" x14ac:dyDescent="0.25">
      <c r="K180" s="42"/>
    </row>
    <row r="181" spans="11:11" x14ac:dyDescent="0.25">
      <c r="K181" s="42"/>
    </row>
    <row r="182" spans="11:11" x14ac:dyDescent="0.25">
      <c r="K182" s="42"/>
    </row>
    <row r="183" spans="11:11" x14ac:dyDescent="0.25">
      <c r="K183" s="42"/>
    </row>
    <row r="184" spans="11:11" x14ac:dyDescent="0.25">
      <c r="K184" s="42"/>
    </row>
    <row r="185" spans="11:11" x14ac:dyDescent="0.25">
      <c r="K185" s="42"/>
    </row>
    <row r="186" spans="11:11" x14ac:dyDescent="0.25">
      <c r="K186" s="42"/>
    </row>
    <row r="187" spans="11:11" x14ac:dyDescent="0.25">
      <c r="K187" s="42"/>
    </row>
    <row r="188" spans="11:11" x14ac:dyDescent="0.25">
      <c r="K188" s="42"/>
    </row>
    <row r="189" spans="11:11" x14ac:dyDescent="0.25">
      <c r="K189" s="42"/>
    </row>
    <row r="190" spans="11:11" x14ac:dyDescent="0.25">
      <c r="K190" s="42"/>
    </row>
    <row r="191" spans="11:11" x14ac:dyDescent="0.25">
      <c r="K191" s="42"/>
    </row>
    <row r="192" spans="11:11" x14ac:dyDescent="0.25">
      <c r="K192" s="42"/>
    </row>
    <row r="193" spans="11:11" x14ac:dyDescent="0.25">
      <c r="K193" s="42"/>
    </row>
    <row r="194" spans="11:11" x14ac:dyDescent="0.25">
      <c r="K194" s="42"/>
    </row>
    <row r="195" spans="11:11" x14ac:dyDescent="0.25">
      <c r="K195" s="42"/>
    </row>
    <row r="196" spans="11:11" x14ac:dyDescent="0.25">
      <c r="K196" s="42"/>
    </row>
    <row r="197" spans="11:11" x14ac:dyDescent="0.25">
      <c r="K197" s="42"/>
    </row>
    <row r="198" spans="11:11" x14ac:dyDescent="0.25">
      <c r="K198" s="42"/>
    </row>
    <row r="199" spans="11:11" x14ac:dyDescent="0.25">
      <c r="K199" s="42"/>
    </row>
    <row r="200" spans="11:11" x14ac:dyDescent="0.25">
      <c r="K200" s="42"/>
    </row>
    <row r="201" spans="11:11" x14ac:dyDescent="0.25">
      <c r="K201" s="42"/>
    </row>
    <row r="202" spans="11:11" x14ac:dyDescent="0.25">
      <c r="K202" s="42"/>
    </row>
    <row r="203" spans="11:11" x14ac:dyDescent="0.25">
      <c r="K203" s="42"/>
    </row>
    <row r="204" spans="11:11" x14ac:dyDescent="0.25">
      <c r="K204" s="42"/>
    </row>
    <row r="205" spans="11:11" x14ac:dyDescent="0.25">
      <c r="K205" s="42"/>
    </row>
    <row r="206" spans="11:11" x14ac:dyDescent="0.25">
      <c r="K206" s="42"/>
    </row>
    <row r="207" spans="11:11" x14ac:dyDescent="0.25">
      <c r="K207" s="42"/>
    </row>
    <row r="208" spans="11:11" x14ac:dyDescent="0.25">
      <c r="K208" s="42"/>
    </row>
    <row r="209" spans="11:11" x14ac:dyDescent="0.25">
      <c r="K209" s="42"/>
    </row>
    <row r="210" spans="11:11" x14ac:dyDescent="0.25">
      <c r="K210" s="42"/>
    </row>
    <row r="211" spans="11:11" x14ac:dyDescent="0.25">
      <c r="K211" s="42"/>
    </row>
    <row r="212" spans="11:11" x14ac:dyDescent="0.25">
      <c r="K212" s="42"/>
    </row>
    <row r="213" spans="11:11" x14ac:dyDescent="0.25">
      <c r="K213" s="42"/>
    </row>
    <row r="214" spans="11:11" x14ac:dyDescent="0.25">
      <c r="K214" s="42"/>
    </row>
    <row r="215" spans="11:11" x14ac:dyDescent="0.25">
      <c r="K215" s="42"/>
    </row>
    <row r="216" spans="11:11" x14ac:dyDescent="0.25">
      <c r="K216" s="42"/>
    </row>
    <row r="217" spans="11:11" x14ac:dyDescent="0.25">
      <c r="K217" s="42"/>
    </row>
    <row r="218" spans="11:11" x14ac:dyDescent="0.25">
      <c r="K218" s="42"/>
    </row>
    <row r="219" spans="11:11" x14ac:dyDescent="0.25">
      <c r="K219" s="42"/>
    </row>
    <row r="220" spans="11:11" x14ac:dyDescent="0.25">
      <c r="K220" s="42"/>
    </row>
    <row r="221" spans="11:11" x14ac:dyDescent="0.25">
      <c r="K221" s="42"/>
    </row>
    <row r="222" spans="11:11" x14ac:dyDescent="0.25">
      <c r="K222" s="42"/>
    </row>
    <row r="223" spans="11:11" x14ac:dyDescent="0.25">
      <c r="K223" s="42"/>
    </row>
    <row r="224" spans="11:11" x14ac:dyDescent="0.25">
      <c r="K224" s="42"/>
    </row>
    <row r="225" spans="11:11" x14ac:dyDescent="0.25">
      <c r="K225" s="42"/>
    </row>
    <row r="226" spans="11:11" x14ac:dyDescent="0.25">
      <c r="K226" s="42"/>
    </row>
    <row r="227" spans="11:11" x14ac:dyDescent="0.25">
      <c r="K227" s="42"/>
    </row>
    <row r="228" spans="11:11" x14ac:dyDescent="0.25">
      <c r="K228" s="42"/>
    </row>
    <row r="229" spans="11:11" x14ac:dyDescent="0.25">
      <c r="K229" s="42"/>
    </row>
    <row r="230" spans="11:11" x14ac:dyDescent="0.25">
      <c r="K230" s="42"/>
    </row>
    <row r="231" spans="11:11" x14ac:dyDescent="0.25">
      <c r="K231" s="42"/>
    </row>
    <row r="232" spans="11:11" x14ac:dyDescent="0.25">
      <c r="K232" s="42"/>
    </row>
    <row r="233" spans="11:11" x14ac:dyDescent="0.25">
      <c r="K233" s="42"/>
    </row>
    <row r="234" spans="11:11" x14ac:dyDescent="0.25">
      <c r="K234" s="42"/>
    </row>
    <row r="235" spans="11:11" x14ac:dyDescent="0.25">
      <c r="K235" s="42"/>
    </row>
    <row r="236" spans="11:11" x14ac:dyDescent="0.25">
      <c r="K236" s="42"/>
    </row>
    <row r="237" spans="11:11" x14ac:dyDescent="0.25">
      <c r="K237" s="42"/>
    </row>
    <row r="238" spans="11:11" x14ac:dyDescent="0.25">
      <c r="K238" s="42"/>
    </row>
    <row r="239" spans="11:11" x14ac:dyDescent="0.25">
      <c r="K239" s="42"/>
    </row>
    <row r="240" spans="11:11" x14ac:dyDescent="0.25">
      <c r="K240" s="42"/>
    </row>
    <row r="241" spans="11:11" x14ac:dyDescent="0.25">
      <c r="K241" s="42"/>
    </row>
    <row r="242" spans="11:11" x14ac:dyDescent="0.25">
      <c r="K242" s="42"/>
    </row>
    <row r="243" spans="11:11" x14ac:dyDescent="0.25">
      <c r="K243" s="42"/>
    </row>
    <row r="244" spans="11:11" x14ac:dyDescent="0.25">
      <c r="K244" s="42"/>
    </row>
    <row r="245" spans="11:11" x14ac:dyDescent="0.25">
      <c r="K245" s="42"/>
    </row>
    <row r="246" spans="11:11" x14ac:dyDescent="0.25">
      <c r="K246" s="42"/>
    </row>
    <row r="247" spans="11:11" x14ac:dyDescent="0.25">
      <c r="K247" s="42"/>
    </row>
    <row r="248" spans="11:11" x14ac:dyDescent="0.25">
      <c r="K248" s="42"/>
    </row>
    <row r="249" spans="11:11" x14ac:dyDescent="0.25">
      <c r="K249" s="42"/>
    </row>
    <row r="250" spans="11:11" x14ac:dyDescent="0.25">
      <c r="K250" s="42"/>
    </row>
    <row r="251" spans="11:11" x14ac:dyDescent="0.25">
      <c r="K251" s="42"/>
    </row>
    <row r="252" spans="11:11" x14ac:dyDescent="0.25">
      <c r="K252" s="42"/>
    </row>
    <row r="253" spans="11:11" x14ac:dyDescent="0.25">
      <c r="K253" s="42"/>
    </row>
    <row r="254" spans="11:11" x14ac:dyDescent="0.25">
      <c r="K254" s="42"/>
    </row>
    <row r="255" spans="11:11" x14ac:dyDescent="0.25">
      <c r="K255" s="42"/>
    </row>
    <row r="256" spans="11:11" x14ac:dyDescent="0.25">
      <c r="K256" s="42"/>
    </row>
    <row r="257" spans="11:11" x14ac:dyDescent="0.25">
      <c r="K257" s="42"/>
    </row>
    <row r="258" spans="11:11" x14ac:dyDescent="0.25">
      <c r="K258" s="42"/>
    </row>
    <row r="259" spans="11:11" x14ac:dyDescent="0.25">
      <c r="K259" s="42"/>
    </row>
    <row r="260" spans="11:11" x14ac:dyDescent="0.25">
      <c r="K260" s="42"/>
    </row>
    <row r="261" spans="11:11" x14ac:dyDescent="0.25">
      <c r="K261" s="42"/>
    </row>
    <row r="262" spans="11:11" x14ac:dyDescent="0.25">
      <c r="K262" s="42"/>
    </row>
    <row r="263" spans="11:11" x14ac:dyDescent="0.25">
      <c r="K263" s="42"/>
    </row>
    <row r="264" spans="11:11" x14ac:dyDescent="0.25">
      <c r="K264" s="42"/>
    </row>
    <row r="265" spans="11:11" x14ac:dyDescent="0.25">
      <c r="K265" s="42"/>
    </row>
    <row r="266" spans="11:11" x14ac:dyDescent="0.25">
      <c r="K266" s="42"/>
    </row>
    <row r="267" spans="11:11" x14ac:dyDescent="0.25">
      <c r="K267" s="42"/>
    </row>
    <row r="268" spans="11:11" x14ac:dyDescent="0.25">
      <c r="K268" s="42"/>
    </row>
    <row r="269" spans="11:11" x14ac:dyDescent="0.25">
      <c r="K269" s="42"/>
    </row>
    <row r="270" spans="11:11" x14ac:dyDescent="0.25">
      <c r="K270" s="42"/>
    </row>
    <row r="271" spans="11:11" x14ac:dyDescent="0.25">
      <c r="K271" s="42"/>
    </row>
    <row r="272" spans="11:11" x14ac:dyDescent="0.25">
      <c r="K272" s="42"/>
    </row>
    <row r="273" spans="11:11" x14ac:dyDescent="0.25">
      <c r="K273" s="42"/>
    </row>
    <row r="274" spans="11:11" x14ac:dyDescent="0.25">
      <c r="K274" s="42"/>
    </row>
    <row r="275" spans="11:11" x14ac:dyDescent="0.25">
      <c r="K275" s="42"/>
    </row>
    <row r="276" spans="11:11" x14ac:dyDescent="0.25">
      <c r="K276" s="42"/>
    </row>
    <row r="277" spans="11:11" x14ac:dyDescent="0.25">
      <c r="K277" s="42"/>
    </row>
    <row r="278" spans="11:11" x14ac:dyDescent="0.25">
      <c r="K278" s="42"/>
    </row>
    <row r="279" spans="11:11" x14ac:dyDescent="0.25">
      <c r="K279" s="42"/>
    </row>
    <row r="280" spans="11:11" x14ac:dyDescent="0.25">
      <c r="K280" s="42"/>
    </row>
    <row r="281" spans="11:11" x14ac:dyDescent="0.25">
      <c r="K281" s="42"/>
    </row>
    <row r="282" spans="11:11" x14ac:dyDescent="0.25">
      <c r="K282" s="42"/>
    </row>
    <row r="283" spans="11:11" x14ac:dyDescent="0.25">
      <c r="K283" s="42"/>
    </row>
    <row r="284" spans="11:11" x14ac:dyDescent="0.25">
      <c r="K284" s="42"/>
    </row>
    <row r="285" spans="11:11" x14ac:dyDescent="0.25">
      <c r="K285" s="42"/>
    </row>
    <row r="286" spans="11:11" x14ac:dyDescent="0.25">
      <c r="K286" s="42"/>
    </row>
    <row r="287" spans="11:11" x14ac:dyDescent="0.25">
      <c r="K287" s="42"/>
    </row>
    <row r="288" spans="11:11" x14ac:dyDescent="0.25">
      <c r="K288" s="42"/>
    </row>
    <row r="289" spans="11:11" x14ac:dyDescent="0.25">
      <c r="K289" s="42"/>
    </row>
    <row r="290" spans="11:11" x14ac:dyDescent="0.25">
      <c r="K290" s="42"/>
    </row>
    <row r="291" spans="11:11" x14ac:dyDescent="0.25">
      <c r="K291" s="42"/>
    </row>
    <row r="292" spans="11:11" x14ac:dyDescent="0.25">
      <c r="K292" s="42"/>
    </row>
    <row r="293" spans="11:11" x14ac:dyDescent="0.25">
      <c r="K293" s="42"/>
    </row>
    <row r="294" spans="11:11" x14ac:dyDescent="0.25">
      <c r="K294" s="42"/>
    </row>
    <row r="295" spans="11:11" x14ac:dyDescent="0.25">
      <c r="K295" s="42"/>
    </row>
    <row r="296" spans="11:11" x14ac:dyDescent="0.25">
      <c r="K296" s="42"/>
    </row>
    <row r="297" spans="11:11" x14ac:dyDescent="0.25">
      <c r="K297" s="42"/>
    </row>
    <row r="298" spans="11:11" x14ac:dyDescent="0.25">
      <c r="K298" s="42"/>
    </row>
    <row r="299" spans="11:11" x14ac:dyDescent="0.25">
      <c r="K299" s="42"/>
    </row>
    <row r="300" spans="11:11" x14ac:dyDescent="0.25">
      <c r="K300" s="42"/>
    </row>
    <row r="301" spans="11:11" x14ac:dyDescent="0.25">
      <c r="K301" s="42"/>
    </row>
    <row r="302" spans="11:11" x14ac:dyDescent="0.25">
      <c r="K302" s="42"/>
    </row>
    <row r="303" spans="11:11" x14ac:dyDescent="0.25">
      <c r="K303" s="42"/>
    </row>
    <row r="304" spans="11:11" x14ac:dyDescent="0.25">
      <c r="K304" s="42"/>
    </row>
    <row r="305" spans="11:11" x14ac:dyDescent="0.25">
      <c r="K305" s="42"/>
    </row>
    <row r="306" spans="11:11" x14ac:dyDescent="0.25">
      <c r="K306" s="42"/>
    </row>
    <row r="307" spans="11:11" x14ac:dyDescent="0.25">
      <c r="K307" s="42"/>
    </row>
    <row r="308" spans="11:11" x14ac:dyDescent="0.25">
      <c r="K308" s="42"/>
    </row>
    <row r="309" spans="11:11" x14ac:dyDescent="0.25">
      <c r="K309" s="42"/>
    </row>
    <row r="310" spans="11:11" x14ac:dyDescent="0.25">
      <c r="K310" s="42"/>
    </row>
    <row r="311" spans="11:11" x14ac:dyDescent="0.25">
      <c r="K311" s="42"/>
    </row>
    <row r="312" spans="11:11" x14ac:dyDescent="0.25">
      <c r="K312" s="42"/>
    </row>
    <row r="313" spans="11:11" x14ac:dyDescent="0.25">
      <c r="K313" s="42"/>
    </row>
    <row r="314" spans="11:11" x14ac:dyDescent="0.25">
      <c r="K314" s="42"/>
    </row>
    <row r="315" spans="11:11" x14ac:dyDescent="0.25">
      <c r="K315" s="42"/>
    </row>
    <row r="316" spans="11:11" x14ac:dyDescent="0.25">
      <c r="K316" s="42"/>
    </row>
    <row r="317" spans="11:11" x14ac:dyDescent="0.25">
      <c r="K317" s="42"/>
    </row>
    <row r="318" spans="11:11" x14ac:dyDescent="0.25">
      <c r="K318" s="42"/>
    </row>
    <row r="319" spans="11:11" x14ac:dyDescent="0.25">
      <c r="K319" s="42"/>
    </row>
    <row r="320" spans="11:11" x14ac:dyDescent="0.25">
      <c r="K320" s="42"/>
    </row>
    <row r="321" spans="11:11" x14ac:dyDescent="0.25">
      <c r="K321" s="42"/>
    </row>
    <row r="322" spans="11:11" x14ac:dyDescent="0.25">
      <c r="K322" s="42"/>
    </row>
    <row r="323" spans="11:11" x14ac:dyDescent="0.25">
      <c r="K323" s="42"/>
    </row>
    <row r="324" spans="11:11" x14ac:dyDescent="0.25">
      <c r="K324" s="42"/>
    </row>
    <row r="325" spans="11:11" x14ac:dyDescent="0.25">
      <c r="K325" s="42"/>
    </row>
    <row r="326" spans="11:11" x14ac:dyDescent="0.25">
      <c r="K326" s="42"/>
    </row>
    <row r="327" spans="11:11" x14ac:dyDescent="0.25">
      <c r="K327" s="42"/>
    </row>
    <row r="328" spans="11:11" x14ac:dyDescent="0.25">
      <c r="K328" s="42"/>
    </row>
    <row r="329" spans="11:11" x14ac:dyDescent="0.25">
      <c r="K329" s="42"/>
    </row>
    <row r="330" spans="11:11" x14ac:dyDescent="0.25">
      <c r="K330" s="42"/>
    </row>
    <row r="331" spans="11:11" x14ac:dyDescent="0.25">
      <c r="K331" s="42"/>
    </row>
    <row r="332" spans="11:11" x14ac:dyDescent="0.25">
      <c r="K332" s="42"/>
    </row>
    <row r="333" spans="11:11" x14ac:dyDescent="0.25">
      <c r="K333" s="42"/>
    </row>
    <row r="334" spans="11:11" x14ac:dyDescent="0.25">
      <c r="K334" s="42"/>
    </row>
    <row r="335" spans="11:11" x14ac:dyDescent="0.25">
      <c r="K335" s="42"/>
    </row>
    <row r="336" spans="11:11" x14ac:dyDescent="0.25">
      <c r="K336" s="42"/>
    </row>
    <row r="337" spans="11:11" x14ac:dyDescent="0.25">
      <c r="K337" s="42"/>
    </row>
    <row r="338" spans="11:11" x14ac:dyDescent="0.25">
      <c r="K338" s="42"/>
    </row>
    <row r="339" spans="11:11" x14ac:dyDescent="0.25">
      <c r="K339" s="42"/>
    </row>
    <row r="340" spans="11:11" x14ac:dyDescent="0.25">
      <c r="K340" s="42"/>
    </row>
    <row r="341" spans="11:11" x14ac:dyDescent="0.25">
      <c r="K341" s="42"/>
    </row>
    <row r="342" spans="11:11" x14ac:dyDescent="0.25">
      <c r="K342" s="42"/>
    </row>
    <row r="343" spans="11:11" x14ac:dyDescent="0.25">
      <c r="K343" s="42"/>
    </row>
    <row r="344" spans="11:11" x14ac:dyDescent="0.25">
      <c r="K344" s="42"/>
    </row>
    <row r="345" spans="11:11" x14ac:dyDescent="0.25">
      <c r="K345" s="42"/>
    </row>
    <row r="346" spans="11:11" x14ac:dyDescent="0.25">
      <c r="K346" s="42"/>
    </row>
    <row r="347" spans="11:11" x14ac:dyDescent="0.25">
      <c r="K347" s="42"/>
    </row>
    <row r="348" spans="11:11" x14ac:dyDescent="0.25">
      <c r="K348" s="42"/>
    </row>
    <row r="349" spans="11:11" x14ac:dyDescent="0.25">
      <c r="K349" s="42"/>
    </row>
    <row r="350" spans="11:11" x14ac:dyDescent="0.25">
      <c r="K350" s="42"/>
    </row>
    <row r="351" spans="11:11" x14ac:dyDescent="0.25">
      <c r="K351" s="42"/>
    </row>
    <row r="352" spans="11:11" x14ac:dyDescent="0.25">
      <c r="K352" s="42"/>
    </row>
    <row r="353" spans="11:11" x14ac:dyDescent="0.25">
      <c r="K353" s="42"/>
    </row>
    <row r="354" spans="11:11" x14ac:dyDescent="0.25">
      <c r="K354" s="42"/>
    </row>
    <row r="355" spans="11:11" x14ac:dyDescent="0.25">
      <c r="K355" s="42"/>
    </row>
    <row r="356" spans="11:11" x14ac:dyDescent="0.25">
      <c r="K356" s="42"/>
    </row>
    <row r="357" spans="11:11" x14ac:dyDescent="0.25">
      <c r="K357" s="42"/>
    </row>
    <row r="358" spans="11:11" x14ac:dyDescent="0.25">
      <c r="K358" s="42"/>
    </row>
    <row r="359" spans="11:11" x14ac:dyDescent="0.25">
      <c r="K359" s="42"/>
    </row>
    <row r="360" spans="11:11" x14ac:dyDescent="0.25">
      <c r="K360" s="42"/>
    </row>
    <row r="361" spans="11:11" x14ac:dyDescent="0.25">
      <c r="K361" s="42"/>
    </row>
    <row r="362" spans="11:11" x14ac:dyDescent="0.25">
      <c r="K362" s="42"/>
    </row>
    <row r="363" spans="11:11" x14ac:dyDescent="0.25">
      <c r="K363" s="42"/>
    </row>
    <row r="364" spans="11:11" x14ac:dyDescent="0.25">
      <c r="K364" s="42"/>
    </row>
    <row r="365" spans="11:11" x14ac:dyDescent="0.25">
      <c r="K365" s="42"/>
    </row>
    <row r="366" spans="11:11" x14ac:dyDescent="0.25">
      <c r="K366" s="42"/>
    </row>
    <row r="367" spans="11:11" x14ac:dyDescent="0.25">
      <c r="K367" s="42"/>
    </row>
    <row r="368" spans="11:11" x14ac:dyDescent="0.25">
      <c r="K368" s="42"/>
    </row>
    <row r="369" spans="11:11" x14ac:dyDescent="0.25">
      <c r="K369" s="42"/>
    </row>
    <row r="370" spans="11:11" x14ac:dyDescent="0.25">
      <c r="K370" s="42"/>
    </row>
    <row r="371" spans="11:11" x14ac:dyDescent="0.25">
      <c r="K371" s="42"/>
    </row>
    <row r="372" spans="11:11" x14ac:dyDescent="0.25">
      <c r="K372" s="42"/>
    </row>
    <row r="373" spans="11:11" x14ac:dyDescent="0.25">
      <c r="K373" s="42"/>
    </row>
    <row r="374" spans="11:11" x14ac:dyDescent="0.25">
      <c r="K374" s="42"/>
    </row>
    <row r="375" spans="11:11" x14ac:dyDescent="0.25">
      <c r="K375" s="42"/>
    </row>
    <row r="376" spans="11:11" x14ac:dyDescent="0.25">
      <c r="K376" s="42"/>
    </row>
    <row r="377" spans="11:11" x14ac:dyDescent="0.25">
      <c r="K377" s="42"/>
    </row>
    <row r="378" spans="11:11" x14ac:dyDescent="0.25">
      <c r="K378" s="42"/>
    </row>
    <row r="379" spans="11:11" x14ac:dyDescent="0.25">
      <c r="K379" s="42"/>
    </row>
    <row r="380" spans="11:11" x14ac:dyDescent="0.25">
      <c r="K380" s="42"/>
    </row>
    <row r="381" spans="11:11" x14ac:dyDescent="0.25">
      <c r="K381" s="42"/>
    </row>
    <row r="382" spans="11:11" x14ac:dyDescent="0.25">
      <c r="K382" s="42"/>
    </row>
    <row r="383" spans="11:11" x14ac:dyDescent="0.25">
      <c r="K383" s="42"/>
    </row>
    <row r="384" spans="11:11" x14ac:dyDescent="0.25">
      <c r="K384" s="42"/>
    </row>
    <row r="385" spans="11:11" x14ac:dyDescent="0.25">
      <c r="K385" s="42"/>
    </row>
    <row r="386" spans="11:11" x14ac:dyDescent="0.25">
      <c r="K386" s="42"/>
    </row>
    <row r="387" spans="11:11" x14ac:dyDescent="0.25">
      <c r="K387" s="42"/>
    </row>
    <row r="388" spans="11:11" x14ac:dyDescent="0.25">
      <c r="K388" s="42"/>
    </row>
    <row r="389" spans="11:11" x14ac:dyDescent="0.25">
      <c r="K389" s="42"/>
    </row>
    <row r="390" spans="11:11" x14ac:dyDescent="0.25">
      <c r="K390" s="42"/>
    </row>
    <row r="391" spans="11:11" x14ac:dyDescent="0.25">
      <c r="K391" s="42"/>
    </row>
    <row r="392" spans="11:11" x14ac:dyDescent="0.25">
      <c r="K392" s="42"/>
    </row>
    <row r="393" spans="11:11" x14ac:dyDescent="0.25">
      <c r="K393" s="42"/>
    </row>
    <row r="394" spans="11:11" x14ac:dyDescent="0.25">
      <c r="K394" s="42"/>
    </row>
    <row r="395" spans="11:11" x14ac:dyDescent="0.25">
      <c r="K395" s="42"/>
    </row>
    <row r="396" spans="11:11" x14ac:dyDescent="0.25">
      <c r="K396" s="42"/>
    </row>
    <row r="397" spans="11:11" x14ac:dyDescent="0.25">
      <c r="K397" s="42"/>
    </row>
    <row r="398" spans="11:11" x14ac:dyDescent="0.25">
      <c r="K398" s="42"/>
    </row>
    <row r="399" spans="11:11" x14ac:dyDescent="0.25">
      <c r="K399" s="42"/>
    </row>
    <row r="400" spans="11:11" x14ac:dyDescent="0.25">
      <c r="K400" s="42"/>
    </row>
    <row r="401" spans="11:11" x14ac:dyDescent="0.25">
      <c r="K401" s="42"/>
    </row>
    <row r="402" spans="11:11" x14ac:dyDescent="0.25">
      <c r="K402" s="42"/>
    </row>
    <row r="403" spans="11:11" x14ac:dyDescent="0.25">
      <c r="K403" s="42"/>
    </row>
    <row r="404" spans="11:11" x14ac:dyDescent="0.25">
      <c r="K404" s="42"/>
    </row>
    <row r="405" spans="11:11" x14ac:dyDescent="0.25">
      <c r="K405" s="42"/>
    </row>
    <row r="406" spans="11:11" x14ac:dyDescent="0.25">
      <c r="K406" s="42"/>
    </row>
    <row r="407" spans="11:11" x14ac:dyDescent="0.25">
      <c r="K407" s="42"/>
    </row>
    <row r="408" spans="11:11" x14ac:dyDescent="0.25">
      <c r="K408" s="42"/>
    </row>
    <row r="409" spans="11:11" x14ac:dyDescent="0.25">
      <c r="K409" s="42"/>
    </row>
    <row r="410" spans="11:11" x14ac:dyDescent="0.25">
      <c r="K410" s="42"/>
    </row>
    <row r="411" spans="11:11" x14ac:dyDescent="0.25">
      <c r="K411" s="42"/>
    </row>
    <row r="412" spans="11:11" x14ac:dyDescent="0.25">
      <c r="K412" s="42"/>
    </row>
    <row r="413" spans="11:11" x14ac:dyDescent="0.25">
      <c r="K413" s="42"/>
    </row>
    <row r="414" spans="11:11" x14ac:dyDescent="0.25">
      <c r="K414" s="42"/>
    </row>
    <row r="415" spans="11:11" x14ac:dyDescent="0.25">
      <c r="K415" s="42"/>
    </row>
    <row r="416" spans="11:11" x14ac:dyDescent="0.25">
      <c r="K416" s="42"/>
    </row>
    <row r="417" spans="11:11" x14ac:dyDescent="0.25">
      <c r="K417" s="42"/>
    </row>
    <row r="418" spans="11:11" x14ac:dyDescent="0.25">
      <c r="K418" s="42"/>
    </row>
    <row r="419" spans="11:11" x14ac:dyDescent="0.25">
      <c r="K419" s="42"/>
    </row>
    <row r="420" spans="11:11" x14ac:dyDescent="0.25">
      <c r="K420" s="42"/>
    </row>
    <row r="421" spans="11:11" x14ac:dyDescent="0.25">
      <c r="K421" s="42"/>
    </row>
    <row r="422" spans="11:11" x14ac:dyDescent="0.25">
      <c r="K422" s="42"/>
    </row>
    <row r="423" spans="11:11" x14ac:dyDescent="0.25">
      <c r="K423" s="42"/>
    </row>
    <row r="424" spans="11:11" x14ac:dyDescent="0.25">
      <c r="K424" s="42"/>
    </row>
    <row r="425" spans="11:11" x14ac:dyDescent="0.25">
      <c r="K425" s="42"/>
    </row>
    <row r="426" spans="11:11" x14ac:dyDescent="0.25">
      <c r="K426" s="42"/>
    </row>
    <row r="427" spans="11:11" x14ac:dyDescent="0.25">
      <c r="K427" s="42"/>
    </row>
    <row r="428" spans="11:11" x14ac:dyDescent="0.25">
      <c r="K428" s="42"/>
    </row>
    <row r="429" spans="11:11" x14ac:dyDescent="0.25">
      <c r="K429" s="42"/>
    </row>
    <row r="430" spans="11:11" x14ac:dyDescent="0.25">
      <c r="K430" s="42"/>
    </row>
    <row r="431" spans="11:11" x14ac:dyDescent="0.25">
      <c r="K431" s="42"/>
    </row>
    <row r="432" spans="11:11" x14ac:dyDescent="0.25">
      <c r="K432" s="42"/>
    </row>
    <row r="433" spans="11:11" x14ac:dyDescent="0.25">
      <c r="K433" s="42"/>
    </row>
    <row r="434" spans="11:11" x14ac:dyDescent="0.25">
      <c r="K434" s="42"/>
    </row>
    <row r="435" spans="11:11" x14ac:dyDescent="0.25">
      <c r="K435" s="42"/>
    </row>
    <row r="436" spans="11:11" x14ac:dyDescent="0.25">
      <c r="K436" s="42"/>
    </row>
    <row r="437" spans="11:11" x14ac:dyDescent="0.25">
      <c r="K437" s="42"/>
    </row>
    <row r="438" spans="11:11" x14ac:dyDescent="0.25">
      <c r="K438" s="42"/>
    </row>
    <row r="439" spans="11:11" x14ac:dyDescent="0.25">
      <c r="K439" s="42"/>
    </row>
    <row r="440" spans="11:11" x14ac:dyDescent="0.25">
      <c r="K440" s="42"/>
    </row>
    <row r="441" spans="11:11" x14ac:dyDescent="0.25">
      <c r="K441" s="42"/>
    </row>
    <row r="442" spans="11:11" x14ac:dyDescent="0.25">
      <c r="K442" s="42"/>
    </row>
    <row r="443" spans="11:11" x14ac:dyDescent="0.25">
      <c r="K443" s="42"/>
    </row>
    <row r="444" spans="11:11" x14ac:dyDescent="0.25">
      <c r="K444" s="42"/>
    </row>
    <row r="445" spans="11:11" x14ac:dyDescent="0.25">
      <c r="K445" s="42"/>
    </row>
    <row r="446" spans="11:11" x14ac:dyDescent="0.25">
      <c r="K446" s="42"/>
    </row>
    <row r="447" spans="11:11" x14ac:dyDescent="0.25">
      <c r="K447" s="42"/>
    </row>
    <row r="448" spans="11:11" x14ac:dyDescent="0.25">
      <c r="K448" s="42"/>
    </row>
    <row r="449" spans="11:11" x14ac:dyDescent="0.25">
      <c r="K449" s="42"/>
    </row>
    <row r="450" spans="11:11" x14ac:dyDescent="0.25">
      <c r="K450" s="42"/>
    </row>
    <row r="451" spans="11:11" x14ac:dyDescent="0.25">
      <c r="K451" s="42"/>
    </row>
    <row r="452" spans="11:11" x14ac:dyDescent="0.25">
      <c r="K452" s="42"/>
    </row>
    <row r="453" spans="11:11" x14ac:dyDescent="0.25">
      <c r="K453" s="42"/>
    </row>
    <row r="454" spans="11:11" x14ac:dyDescent="0.25">
      <c r="K454" s="42"/>
    </row>
    <row r="455" spans="11:11" x14ac:dyDescent="0.25">
      <c r="K455" s="42"/>
    </row>
    <row r="456" spans="11:11" x14ac:dyDescent="0.25">
      <c r="K456" s="42"/>
    </row>
    <row r="457" spans="11:11" x14ac:dyDescent="0.25">
      <c r="K457" s="42"/>
    </row>
    <row r="458" spans="11:11" x14ac:dyDescent="0.25">
      <c r="K458" s="42"/>
    </row>
    <row r="459" spans="11:11" x14ac:dyDescent="0.25">
      <c r="K459" s="42"/>
    </row>
    <row r="460" spans="11:11" x14ac:dyDescent="0.25">
      <c r="K460" s="42"/>
    </row>
    <row r="461" spans="11:11" x14ac:dyDescent="0.25">
      <c r="K461" s="42"/>
    </row>
    <row r="462" spans="11:11" x14ac:dyDescent="0.25">
      <c r="K462" s="42"/>
    </row>
    <row r="463" spans="11:11" x14ac:dyDescent="0.25">
      <c r="K463" s="42"/>
    </row>
    <row r="464" spans="11:11" x14ac:dyDescent="0.25">
      <c r="K464" s="42"/>
    </row>
    <row r="465" spans="11:11" x14ac:dyDescent="0.25">
      <c r="K465" s="42"/>
    </row>
    <row r="466" spans="11:11" x14ac:dyDescent="0.25">
      <c r="K466" s="42"/>
    </row>
    <row r="467" spans="11:11" x14ac:dyDescent="0.25">
      <c r="K467" s="42"/>
    </row>
    <row r="468" spans="11:11" x14ac:dyDescent="0.25">
      <c r="K468" s="42"/>
    </row>
    <row r="469" spans="11:11" x14ac:dyDescent="0.25">
      <c r="K469" s="42"/>
    </row>
    <row r="470" spans="11:11" x14ac:dyDescent="0.25">
      <c r="K470" s="42"/>
    </row>
    <row r="471" spans="11:11" x14ac:dyDescent="0.25">
      <c r="K471" s="42"/>
    </row>
    <row r="472" spans="11:11" x14ac:dyDescent="0.25">
      <c r="K472" s="42"/>
    </row>
    <row r="473" spans="11:11" x14ac:dyDescent="0.25">
      <c r="K473" s="42"/>
    </row>
    <row r="474" spans="11:11" x14ac:dyDescent="0.25">
      <c r="K474" s="42"/>
    </row>
    <row r="475" spans="11:11" x14ac:dyDescent="0.25">
      <c r="K475" s="42"/>
    </row>
    <row r="476" spans="11:11" x14ac:dyDescent="0.25">
      <c r="K476" s="42"/>
    </row>
    <row r="477" spans="11:11" x14ac:dyDescent="0.25">
      <c r="K477" s="42"/>
    </row>
    <row r="478" spans="11:11" x14ac:dyDescent="0.25">
      <c r="K478" s="42"/>
    </row>
    <row r="479" spans="11:11" x14ac:dyDescent="0.25">
      <c r="K479" s="42"/>
    </row>
    <row r="480" spans="11:11" x14ac:dyDescent="0.25">
      <c r="K480" s="42"/>
    </row>
    <row r="481" spans="11:11" x14ac:dyDescent="0.25">
      <c r="K481" s="42"/>
    </row>
    <row r="482" spans="11:11" x14ac:dyDescent="0.25">
      <c r="K482" s="42"/>
    </row>
    <row r="483" spans="11:11" x14ac:dyDescent="0.25">
      <c r="K483" s="42"/>
    </row>
    <row r="484" spans="11:11" x14ac:dyDescent="0.25">
      <c r="K484" s="42"/>
    </row>
    <row r="485" spans="11:11" x14ac:dyDescent="0.25">
      <c r="K485" s="42"/>
    </row>
    <row r="486" spans="11:11" x14ac:dyDescent="0.25">
      <c r="K486" s="42"/>
    </row>
    <row r="487" spans="11:11" x14ac:dyDescent="0.25">
      <c r="K487" s="42"/>
    </row>
    <row r="488" spans="11:11" x14ac:dyDescent="0.25">
      <c r="K488" s="42"/>
    </row>
    <row r="489" spans="11:11" x14ac:dyDescent="0.25">
      <c r="K489" s="42"/>
    </row>
    <row r="490" spans="11:11" x14ac:dyDescent="0.25">
      <c r="K490" s="42"/>
    </row>
    <row r="491" spans="11:11" x14ac:dyDescent="0.25">
      <c r="K491" s="42"/>
    </row>
    <row r="492" spans="11:11" x14ac:dyDescent="0.25">
      <c r="K492" s="42"/>
    </row>
    <row r="493" spans="11:11" x14ac:dyDescent="0.25">
      <c r="K493" s="42"/>
    </row>
    <row r="494" spans="11:11" x14ac:dyDescent="0.25">
      <c r="K494" s="42"/>
    </row>
    <row r="495" spans="11:11" x14ac:dyDescent="0.25">
      <c r="K495" s="42"/>
    </row>
    <row r="496" spans="11:11" x14ac:dyDescent="0.25">
      <c r="K496" s="42"/>
    </row>
    <row r="497" spans="11:11" x14ac:dyDescent="0.25">
      <c r="K497" s="42"/>
    </row>
    <row r="498" spans="11:11" x14ac:dyDescent="0.25">
      <c r="K498" s="42"/>
    </row>
    <row r="499" spans="11:11" x14ac:dyDescent="0.25">
      <c r="K499" s="42"/>
    </row>
    <row r="500" spans="11:11" x14ac:dyDescent="0.25">
      <c r="K500" s="42"/>
    </row>
    <row r="501" spans="11:11" x14ac:dyDescent="0.25">
      <c r="K501" s="42"/>
    </row>
    <row r="502" spans="11:11" x14ac:dyDescent="0.25">
      <c r="K502" s="42"/>
    </row>
    <row r="503" spans="11:11" x14ac:dyDescent="0.25">
      <c r="K503" s="42"/>
    </row>
    <row r="504" spans="11:11" x14ac:dyDescent="0.25">
      <c r="K504" s="42"/>
    </row>
    <row r="505" spans="11:11" x14ac:dyDescent="0.25">
      <c r="K505" s="42"/>
    </row>
    <row r="506" spans="11:11" x14ac:dyDescent="0.25">
      <c r="K506" s="42"/>
    </row>
    <row r="507" spans="11:11" x14ac:dyDescent="0.25">
      <c r="K507" s="42"/>
    </row>
    <row r="508" spans="11:11" x14ac:dyDescent="0.25">
      <c r="K508" s="42"/>
    </row>
    <row r="509" spans="11:11" x14ac:dyDescent="0.25">
      <c r="K509" s="42"/>
    </row>
    <row r="510" spans="11:11" x14ac:dyDescent="0.25">
      <c r="K510" s="42"/>
    </row>
    <row r="511" spans="11:11" x14ac:dyDescent="0.25">
      <c r="K511" s="42"/>
    </row>
    <row r="512" spans="11:11" x14ac:dyDescent="0.25">
      <c r="K512" s="42"/>
    </row>
    <row r="513" spans="11:11" x14ac:dyDescent="0.25">
      <c r="K513" s="42"/>
    </row>
    <row r="514" spans="11:11" x14ac:dyDescent="0.25">
      <c r="K514" s="42"/>
    </row>
    <row r="515" spans="11:11" x14ac:dyDescent="0.25">
      <c r="K515" s="42"/>
    </row>
    <row r="516" spans="11:11" x14ac:dyDescent="0.25">
      <c r="K516" s="42"/>
    </row>
    <row r="517" spans="11:11" x14ac:dyDescent="0.25">
      <c r="K517" s="42"/>
    </row>
    <row r="518" spans="11:11" x14ac:dyDescent="0.25">
      <c r="K518" s="42"/>
    </row>
    <row r="519" spans="11:11" x14ac:dyDescent="0.25">
      <c r="K519" s="42"/>
    </row>
    <row r="520" spans="11:11" x14ac:dyDescent="0.25">
      <c r="K520" s="42"/>
    </row>
    <row r="521" spans="11:11" x14ac:dyDescent="0.25">
      <c r="K521" s="42"/>
    </row>
    <row r="522" spans="11:11" x14ac:dyDescent="0.25">
      <c r="K522" s="42"/>
    </row>
    <row r="523" spans="11:11" x14ac:dyDescent="0.25">
      <c r="K523" s="42"/>
    </row>
    <row r="524" spans="11:11" x14ac:dyDescent="0.25">
      <c r="K524" s="42"/>
    </row>
    <row r="525" spans="11:11" x14ac:dyDescent="0.25">
      <c r="K525" s="42"/>
    </row>
    <row r="526" spans="11:11" x14ac:dyDescent="0.25">
      <c r="K526" s="42"/>
    </row>
    <row r="527" spans="11:11" x14ac:dyDescent="0.25">
      <c r="K527" s="42"/>
    </row>
    <row r="528" spans="11:11" x14ac:dyDescent="0.25">
      <c r="K528" s="42"/>
    </row>
    <row r="529" spans="11:11" x14ac:dyDescent="0.25">
      <c r="K529" s="42"/>
    </row>
    <row r="530" spans="11:11" x14ac:dyDescent="0.25">
      <c r="K530" s="42"/>
    </row>
    <row r="531" spans="11:11" x14ac:dyDescent="0.25">
      <c r="K531" s="42"/>
    </row>
    <row r="532" spans="11:11" x14ac:dyDescent="0.25">
      <c r="K532" s="42"/>
    </row>
    <row r="533" spans="11:11" x14ac:dyDescent="0.25">
      <c r="K533" s="42"/>
    </row>
    <row r="534" spans="11:11" x14ac:dyDescent="0.25">
      <c r="K534" s="42"/>
    </row>
    <row r="535" spans="11:11" x14ac:dyDescent="0.25">
      <c r="K535" s="42"/>
    </row>
    <row r="536" spans="11:11" x14ac:dyDescent="0.25">
      <c r="K536" s="42"/>
    </row>
    <row r="537" spans="11:11" x14ac:dyDescent="0.25">
      <c r="K537" s="42"/>
    </row>
    <row r="538" spans="11:11" x14ac:dyDescent="0.25">
      <c r="K538" s="42"/>
    </row>
    <row r="539" spans="11:11" x14ac:dyDescent="0.25">
      <c r="K539" s="42"/>
    </row>
    <row r="540" spans="11:11" x14ac:dyDescent="0.25">
      <c r="K540" s="42"/>
    </row>
    <row r="541" spans="11:11" x14ac:dyDescent="0.25">
      <c r="K541" s="42"/>
    </row>
    <row r="542" spans="11:11" x14ac:dyDescent="0.25">
      <c r="K542" s="42"/>
    </row>
    <row r="543" spans="11:11" x14ac:dyDescent="0.25">
      <c r="K543" s="42"/>
    </row>
    <row r="544" spans="11:11" x14ac:dyDescent="0.25">
      <c r="K544" s="42"/>
    </row>
    <row r="545" spans="11:11" x14ac:dyDescent="0.25">
      <c r="K545" s="42"/>
    </row>
    <row r="546" spans="11:11" x14ac:dyDescent="0.25">
      <c r="K546" s="42"/>
    </row>
    <row r="547" spans="11:11" x14ac:dyDescent="0.25">
      <c r="K547" s="42"/>
    </row>
    <row r="548" spans="11:11" x14ac:dyDescent="0.25">
      <c r="K548" s="42"/>
    </row>
    <row r="549" spans="11:11" x14ac:dyDescent="0.25">
      <c r="K549" s="42"/>
    </row>
    <row r="550" spans="11:11" x14ac:dyDescent="0.25">
      <c r="K550" s="42"/>
    </row>
    <row r="551" spans="11:11" x14ac:dyDescent="0.25">
      <c r="K551" s="42"/>
    </row>
    <row r="552" spans="11:11" x14ac:dyDescent="0.25">
      <c r="K552" s="42"/>
    </row>
    <row r="553" spans="11:11" x14ac:dyDescent="0.25">
      <c r="K553" s="42"/>
    </row>
    <row r="554" spans="11:11" x14ac:dyDescent="0.25">
      <c r="K554" s="42"/>
    </row>
    <row r="555" spans="11:11" x14ac:dyDescent="0.25">
      <c r="K555" s="42"/>
    </row>
    <row r="556" spans="11:11" x14ac:dyDescent="0.25">
      <c r="K556" s="42"/>
    </row>
    <row r="557" spans="11:11" x14ac:dyDescent="0.25">
      <c r="K557" s="42"/>
    </row>
    <row r="558" spans="11:11" x14ac:dyDescent="0.25">
      <c r="K558" s="42"/>
    </row>
    <row r="559" spans="11:11" x14ac:dyDescent="0.25">
      <c r="K559" s="42"/>
    </row>
    <row r="560" spans="11:11" x14ac:dyDescent="0.25">
      <c r="K560" s="42"/>
    </row>
    <row r="561" spans="11:11" x14ac:dyDescent="0.25">
      <c r="K561" s="42"/>
    </row>
    <row r="562" spans="11:11" x14ac:dyDescent="0.25">
      <c r="K562" s="42"/>
    </row>
    <row r="563" spans="11:11" x14ac:dyDescent="0.25">
      <c r="K563" s="42"/>
    </row>
    <row r="564" spans="11:11" x14ac:dyDescent="0.25">
      <c r="K564" s="42"/>
    </row>
    <row r="565" spans="11:11" x14ac:dyDescent="0.25">
      <c r="K565" s="42"/>
    </row>
    <row r="566" spans="11:11" x14ac:dyDescent="0.25">
      <c r="K566" s="42"/>
    </row>
    <row r="567" spans="11:11" x14ac:dyDescent="0.25">
      <c r="K567" s="42"/>
    </row>
    <row r="568" spans="11:11" x14ac:dyDescent="0.25">
      <c r="K568" s="42"/>
    </row>
    <row r="569" spans="11:11" x14ac:dyDescent="0.25">
      <c r="K569" s="42"/>
    </row>
    <row r="570" spans="11:11" x14ac:dyDescent="0.25">
      <c r="K570" s="42"/>
    </row>
    <row r="571" spans="11:11" x14ac:dyDescent="0.25">
      <c r="K571" s="42"/>
    </row>
    <row r="572" spans="11:11" x14ac:dyDescent="0.25">
      <c r="K572" s="42"/>
    </row>
    <row r="573" spans="11:11" x14ac:dyDescent="0.25">
      <c r="K573" s="42"/>
    </row>
    <row r="574" spans="11:11" x14ac:dyDescent="0.25">
      <c r="K574" s="42"/>
    </row>
    <row r="575" spans="11:11" x14ac:dyDescent="0.25">
      <c r="K575" s="42"/>
    </row>
    <row r="576" spans="11:11" x14ac:dyDescent="0.25">
      <c r="K576" s="42"/>
    </row>
    <row r="577" spans="11:11" x14ac:dyDescent="0.25">
      <c r="K577" s="42"/>
    </row>
    <row r="578" spans="11:11" x14ac:dyDescent="0.25">
      <c r="K578" s="42"/>
    </row>
    <row r="579" spans="11:11" x14ac:dyDescent="0.25">
      <c r="K579" s="42"/>
    </row>
    <row r="580" spans="11:11" x14ac:dyDescent="0.25">
      <c r="K580" s="42"/>
    </row>
    <row r="581" spans="11:11" x14ac:dyDescent="0.25">
      <c r="K581" s="42"/>
    </row>
    <row r="582" spans="11:11" x14ac:dyDescent="0.25">
      <c r="K582" s="42"/>
    </row>
    <row r="583" spans="11:11" x14ac:dyDescent="0.25">
      <c r="K583" s="42"/>
    </row>
    <row r="584" spans="11:11" x14ac:dyDescent="0.25">
      <c r="K584" s="42"/>
    </row>
    <row r="585" spans="11:11" x14ac:dyDescent="0.25">
      <c r="K585" s="42"/>
    </row>
    <row r="586" spans="11:11" x14ac:dyDescent="0.25">
      <c r="K586" s="42"/>
    </row>
    <row r="587" spans="11:11" x14ac:dyDescent="0.25">
      <c r="K587" s="42"/>
    </row>
    <row r="588" spans="11:11" x14ac:dyDescent="0.25">
      <c r="K588" s="42"/>
    </row>
    <row r="589" spans="11:11" x14ac:dyDescent="0.25">
      <c r="K589" s="42"/>
    </row>
    <row r="590" spans="11:11" x14ac:dyDescent="0.25">
      <c r="K590" s="42"/>
    </row>
    <row r="591" spans="11:11" x14ac:dyDescent="0.25">
      <c r="K591" s="42"/>
    </row>
    <row r="592" spans="11:11" x14ac:dyDescent="0.25">
      <c r="K592" s="42"/>
    </row>
    <row r="593" spans="11:11" x14ac:dyDescent="0.25">
      <c r="K593" s="42"/>
    </row>
    <row r="594" spans="11:11" x14ac:dyDescent="0.25">
      <c r="K594" s="42"/>
    </row>
    <row r="595" spans="11:11" x14ac:dyDescent="0.25">
      <c r="K595" s="42"/>
    </row>
    <row r="596" spans="11:11" x14ac:dyDescent="0.25">
      <c r="K596" s="42"/>
    </row>
    <row r="597" spans="11:11" x14ac:dyDescent="0.25">
      <c r="K597" s="42"/>
    </row>
    <row r="598" spans="11:11" x14ac:dyDescent="0.25">
      <c r="K598" s="42"/>
    </row>
    <row r="599" spans="11:11" x14ac:dyDescent="0.25">
      <c r="K599" s="42"/>
    </row>
    <row r="600" spans="11:11" x14ac:dyDescent="0.25">
      <c r="K600" s="42"/>
    </row>
    <row r="601" spans="11:11" x14ac:dyDescent="0.25">
      <c r="K601" s="42"/>
    </row>
    <row r="602" spans="11:11" x14ac:dyDescent="0.25">
      <c r="K602" s="42"/>
    </row>
    <row r="603" spans="11:11" x14ac:dyDescent="0.25">
      <c r="K603" s="42"/>
    </row>
    <row r="604" spans="11:11" x14ac:dyDescent="0.25">
      <c r="K604" s="42"/>
    </row>
    <row r="605" spans="11:11" x14ac:dyDescent="0.25">
      <c r="K605" s="42"/>
    </row>
    <row r="606" spans="11:11" x14ac:dyDescent="0.25">
      <c r="K606" s="42"/>
    </row>
    <row r="607" spans="11:11" x14ac:dyDescent="0.25">
      <c r="K607" s="42"/>
    </row>
    <row r="608" spans="11:11" x14ac:dyDescent="0.25">
      <c r="K608" s="42"/>
    </row>
    <row r="609" spans="11:11" x14ac:dyDescent="0.25">
      <c r="K609" s="42"/>
    </row>
    <row r="610" spans="11:11" x14ac:dyDescent="0.25">
      <c r="K610" s="42"/>
    </row>
    <row r="611" spans="11:11" x14ac:dyDescent="0.25">
      <c r="K611" s="42"/>
    </row>
    <row r="612" spans="11:11" x14ac:dyDescent="0.25">
      <c r="K612" s="42"/>
    </row>
    <row r="613" spans="11:11" x14ac:dyDescent="0.25">
      <c r="K613" s="42"/>
    </row>
    <row r="614" spans="11:11" x14ac:dyDescent="0.25">
      <c r="K614" s="42"/>
    </row>
    <row r="615" spans="11:11" x14ac:dyDescent="0.25">
      <c r="K615" s="42"/>
    </row>
    <row r="616" spans="11:11" x14ac:dyDescent="0.25">
      <c r="K616" s="42"/>
    </row>
    <row r="617" spans="11:11" x14ac:dyDescent="0.25">
      <c r="K617" s="42"/>
    </row>
    <row r="618" spans="11:11" x14ac:dyDescent="0.25">
      <c r="K618" s="42"/>
    </row>
    <row r="619" spans="11:11" x14ac:dyDescent="0.25">
      <c r="K619" s="42"/>
    </row>
    <row r="620" spans="11:11" x14ac:dyDescent="0.25">
      <c r="K620" s="42"/>
    </row>
    <row r="621" spans="11:11" x14ac:dyDescent="0.25">
      <c r="K621" s="42"/>
    </row>
    <row r="622" spans="11:11" x14ac:dyDescent="0.25">
      <c r="K622" s="42"/>
    </row>
    <row r="623" spans="11:11" x14ac:dyDescent="0.25">
      <c r="K623" s="42"/>
    </row>
    <row r="624" spans="11:11" x14ac:dyDescent="0.25">
      <c r="K624" s="42"/>
    </row>
    <row r="625" spans="11:11" x14ac:dyDescent="0.25">
      <c r="K625" s="42"/>
    </row>
    <row r="626" spans="11:11" x14ac:dyDescent="0.25">
      <c r="K626" s="42"/>
    </row>
    <row r="627" spans="11:11" x14ac:dyDescent="0.25">
      <c r="K627" s="42"/>
    </row>
    <row r="628" spans="11:11" x14ac:dyDescent="0.25">
      <c r="K628" s="42"/>
    </row>
    <row r="629" spans="11:11" x14ac:dyDescent="0.25">
      <c r="K629" s="42"/>
    </row>
    <row r="630" spans="11:11" x14ac:dyDescent="0.25">
      <c r="K630" s="42"/>
    </row>
    <row r="631" spans="11:11" x14ac:dyDescent="0.25">
      <c r="K631" s="42"/>
    </row>
    <row r="632" spans="11:11" x14ac:dyDescent="0.25">
      <c r="K632" s="42"/>
    </row>
    <row r="633" spans="11:11" x14ac:dyDescent="0.25">
      <c r="K633" s="42"/>
    </row>
  </sheetData>
  <mergeCells count="13">
    <mergeCell ref="B1:O1"/>
    <mergeCell ref="D4:L5"/>
    <mergeCell ref="M10:O10"/>
    <mergeCell ref="B2:O2"/>
    <mergeCell ref="H6:O6"/>
    <mergeCell ref="B3:L3"/>
    <mergeCell ref="K9:L9"/>
    <mergeCell ref="M4:O4"/>
    <mergeCell ref="B4:C5"/>
    <mergeCell ref="B10:B11"/>
    <mergeCell ref="F10:L10"/>
    <mergeCell ref="B6:G6"/>
    <mergeCell ref="C10:E10"/>
  </mergeCells>
  <printOptions horizontalCentered="1" verticalCentered="1"/>
  <pageMargins left="0.59055118110236227" right="0.59055118110236227" top="0.59055118110236227" bottom="0.59055118110236227" header="0" footer="0"/>
  <pageSetup paperSize="9" scale="5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87"/>
  <sheetViews>
    <sheetView showZeros="0" workbookViewId="0">
      <selection activeCell="D14" sqref="D14"/>
    </sheetView>
  </sheetViews>
  <sheetFormatPr defaultColWidth="1.6640625" defaultRowHeight="10.199999999999999" x14ac:dyDescent="0.25"/>
  <cols>
    <col min="1" max="1" width="1.6640625" style="1" customWidth="1"/>
    <col min="2" max="2" width="19.6640625" style="1" customWidth="1"/>
    <col min="3" max="10" width="16.33203125" style="1" customWidth="1"/>
    <col min="11" max="12" width="1.6640625" style="1" customWidth="1"/>
    <col min="13" max="16384" width="1.6640625" style="1"/>
  </cols>
  <sheetData>
    <row r="1" spans="1:11" ht="10.199999999999999" customHeight="1" thickTop="1" x14ac:dyDescent="0.25">
      <c r="A1" s="198"/>
      <c r="B1" s="355"/>
      <c r="C1" s="356"/>
      <c r="D1" s="356"/>
      <c r="E1" s="356"/>
      <c r="F1" s="356"/>
      <c r="G1" s="356"/>
      <c r="H1" s="356"/>
      <c r="I1" s="356"/>
      <c r="J1" s="356"/>
      <c r="K1" s="199"/>
    </row>
    <row r="2" spans="1:11" ht="13.2" customHeight="1" x14ac:dyDescent="0.25">
      <c r="A2" s="200"/>
      <c r="B2" s="354" t="s">
        <v>0</v>
      </c>
      <c r="C2" s="337"/>
      <c r="D2" s="337"/>
      <c r="E2" s="337"/>
      <c r="F2" s="337"/>
      <c r="G2" s="337"/>
      <c r="H2" s="337"/>
      <c r="I2" s="337"/>
      <c r="J2" s="338"/>
      <c r="K2" s="202"/>
    </row>
    <row r="3" spans="1:11" ht="13.2" customHeight="1" x14ac:dyDescent="0.25">
      <c r="A3" s="200"/>
      <c r="B3" s="346" t="s">
        <v>1</v>
      </c>
      <c r="C3" s="340"/>
      <c r="D3" s="340"/>
      <c r="E3" s="340"/>
      <c r="F3" s="340"/>
      <c r="G3" s="340"/>
      <c r="H3" s="340"/>
      <c r="I3" s="340"/>
      <c r="J3" s="341"/>
      <c r="K3" s="202"/>
    </row>
    <row r="4" spans="1:11" ht="13.2" customHeight="1" x14ac:dyDescent="0.25">
      <c r="A4" s="200"/>
      <c r="B4" s="475" t="s">
        <v>294</v>
      </c>
      <c r="C4" s="344"/>
      <c r="D4" s="344"/>
      <c r="E4" s="344"/>
      <c r="F4" s="344"/>
      <c r="G4" s="344"/>
      <c r="H4" s="334"/>
      <c r="I4" s="144" t="s">
        <v>3</v>
      </c>
      <c r="J4" s="145">
        <f>('QUADRO IV A'!N3)+1</f>
        <v>6</v>
      </c>
      <c r="K4" s="202"/>
    </row>
    <row r="5" spans="1:11" ht="13.2" customHeight="1" x14ac:dyDescent="0.25">
      <c r="A5" s="200"/>
      <c r="B5" s="469" t="s">
        <v>132</v>
      </c>
      <c r="C5" s="465" t="str">
        <f>('QUADRO I'!$D$5)</f>
        <v>{RUA}, {COMPLEMENTO}; {SETOR} - {CIDADE}</v>
      </c>
      <c r="D5" s="337"/>
      <c r="E5" s="337"/>
      <c r="F5" s="337"/>
      <c r="G5" s="337"/>
      <c r="H5" s="338"/>
      <c r="I5" s="439" t="s">
        <v>259</v>
      </c>
      <c r="J5" s="338"/>
      <c r="K5" s="202"/>
    </row>
    <row r="6" spans="1:11" ht="13.2" customHeight="1" x14ac:dyDescent="0.25">
      <c r="A6" s="200"/>
      <c r="B6" s="339"/>
      <c r="C6" s="340"/>
      <c r="D6" s="340"/>
      <c r="E6" s="340"/>
      <c r="F6" s="340"/>
      <c r="G6" s="340"/>
      <c r="H6" s="341"/>
      <c r="I6" s="75" t="s">
        <v>6</v>
      </c>
      <c r="J6" s="113">
        <f>('QUADRO I'!$R$6)</f>
        <v>10</v>
      </c>
      <c r="K6" s="202"/>
    </row>
    <row r="7" spans="1:11" ht="13.2" customHeight="1" x14ac:dyDescent="0.25">
      <c r="A7" s="200"/>
      <c r="B7" s="475" t="s">
        <v>7</v>
      </c>
      <c r="C7" s="344"/>
      <c r="D7" s="344"/>
      <c r="E7" s="344"/>
      <c r="F7" s="334"/>
      <c r="G7" s="475" t="s">
        <v>8</v>
      </c>
      <c r="H7" s="344"/>
      <c r="I7" s="344"/>
      <c r="J7" s="334"/>
      <c r="K7" s="202"/>
    </row>
    <row r="8" spans="1:11" ht="13.2" customHeight="1" x14ac:dyDescent="0.25">
      <c r="A8" s="200"/>
      <c r="B8" s="79" t="s">
        <v>9</v>
      </c>
      <c r="C8" s="313" t="str">
        <f>('QUADRO I'!$C$8)</f>
        <v>{IMCORPORADOR}</v>
      </c>
      <c r="D8" s="27"/>
      <c r="E8" s="27"/>
      <c r="F8" s="94"/>
      <c r="G8" s="79" t="s">
        <v>9</v>
      </c>
      <c r="H8" s="313" t="str">
        <f>('QUADRO I'!$N$8)</f>
        <v>{RESPONSÁVEL TÉCNICO}</v>
      </c>
      <c r="I8" s="29"/>
      <c r="J8" s="28"/>
      <c r="K8" s="202"/>
    </row>
    <row r="9" spans="1:11" ht="13.2" customHeight="1" x14ac:dyDescent="0.25">
      <c r="A9" s="200"/>
      <c r="B9" s="9" t="s">
        <v>10</v>
      </c>
      <c r="F9" s="13"/>
      <c r="G9" s="9" t="s">
        <v>10</v>
      </c>
      <c r="J9" s="4"/>
      <c r="K9" s="202"/>
    </row>
    <row r="10" spans="1:11" ht="13.2" customHeight="1" x14ac:dyDescent="0.25">
      <c r="A10" s="200"/>
      <c r="B10" s="5" t="s">
        <v>11</v>
      </c>
      <c r="C10" s="165" t="str">
        <f>('QUADRO I'!$C$10)</f>
        <v>{DATA HOJE}</v>
      </c>
      <c r="D10" s="2"/>
      <c r="E10" s="2"/>
      <c r="F10" s="65"/>
      <c r="G10" s="5" t="s">
        <v>11</v>
      </c>
      <c r="H10" s="165" t="str">
        <f>('QUADRO I'!$C$10)</f>
        <v>{DATA HOJE}</v>
      </c>
      <c r="I10" s="70" t="str">
        <f>('QUADRO I'!$Q$10)</f>
        <v>Registro no CREA:</v>
      </c>
      <c r="J10" s="114" t="str">
        <f>('QUADRO I'!$S$10)</f>
        <v>{CREA}</v>
      </c>
      <c r="K10" s="202"/>
    </row>
    <row r="11" spans="1:11" s="10" customFormat="1" ht="13.2" customHeight="1" x14ac:dyDescent="0.25">
      <c r="A11" s="249"/>
      <c r="B11" s="164"/>
      <c r="C11" s="343" t="s">
        <v>295</v>
      </c>
      <c r="D11" s="344"/>
      <c r="E11" s="344"/>
      <c r="F11" s="344"/>
      <c r="G11" s="334"/>
      <c r="H11" s="164"/>
      <c r="I11" s="476" t="s">
        <v>164</v>
      </c>
      <c r="J11" s="452" t="s">
        <v>159</v>
      </c>
      <c r="K11" s="201"/>
    </row>
    <row r="12" spans="1:11" s="10" customFormat="1" ht="49.95" customHeight="1" x14ac:dyDescent="0.25">
      <c r="A12" s="249"/>
      <c r="B12" s="164" t="s">
        <v>296</v>
      </c>
      <c r="C12" s="164" t="s">
        <v>297</v>
      </c>
      <c r="D12" s="64" t="s">
        <v>298</v>
      </c>
      <c r="E12" s="164" t="s">
        <v>299</v>
      </c>
      <c r="F12" s="64" t="s">
        <v>300</v>
      </c>
      <c r="G12" s="64" t="s">
        <v>301</v>
      </c>
      <c r="H12" s="164" t="s">
        <v>302</v>
      </c>
      <c r="I12" s="425"/>
      <c r="J12" s="426"/>
      <c r="K12" s="201"/>
    </row>
    <row r="13" spans="1:11" s="10" customFormat="1" ht="13.2" customHeight="1" x14ac:dyDescent="0.25">
      <c r="A13" s="249"/>
      <c r="B13" s="108" t="s">
        <v>303</v>
      </c>
      <c r="C13" s="15" t="s">
        <v>202</v>
      </c>
      <c r="D13" s="15" t="s">
        <v>304</v>
      </c>
      <c r="E13" s="15" t="s">
        <v>305</v>
      </c>
      <c r="F13" s="15" t="s">
        <v>306</v>
      </c>
      <c r="G13" s="15" t="s">
        <v>307</v>
      </c>
      <c r="H13" s="15" t="s">
        <v>308</v>
      </c>
      <c r="I13" s="426"/>
      <c r="J13" s="167"/>
      <c r="K13" s="201"/>
    </row>
    <row r="14" spans="1:11" ht="12" customHeight="1" x14ac:dyDescent="0.25">
      <c r="A14" s="200"/>
      <c r="B14" s="24" t="str">
        <f>('QUADRO II'!B17)</f>
        <v>CASA 01</v>
      </c>
      <c r="C14" s="109" t="str">
        <f>CAPA!D9</f>
        <v>({ÁREA CONSTRUÍDA PRIVATIVA}+{ÁREA CONSTRUÍDA COMUM})</v>
      </c>
      <c r="D14" s="86" t="str">
        <f>'QUADRO II'!D17</f>
        <v>({ÁREA DESCOBERTA PRIVATIVA}+{ÁREA DESCOBERTA COMUM})</v>
      </c>
      <c r="E14" s="109" t="e">
        <f>'QUADRO II'!F17</f>
        <v>#VALUE!</v>
      </c>
      <c r="F14" s="109" t="e">
        <f>('QUADRO II'!K17)+('QUADRO II'!R17)</f>
        <v>#DIV/0!</v>
      </c>
      <c r="G14" s="109" t="e">
        <f t="shared" ref="G14:G45" si="0">SUM(E14+F14)</f>
        <v>#VALUE!</v>
      </c>
      <c r="H14" s="321" t="e">
        <f>('QUADRO II'!N17)</f>
        <v>#DIV/0!</v>
      </c>
      <c r="I14" s="109">
        <f>('QUADRO II'!V17)</f>
        <v>1</v>
      </c>
      <c r="J14" s="23"/>
      <c r="K14" s="202"/>
    </row>
    <row r="15" spans="1:11" ht="12" customHeight="1" x14ac:dyDescent="0.25">
      <c r="A15" s="200"/>
      <c r="B15" s="24" t="e">
        <f>('QUADRO II'!#REF!)</f>
        <v>#REF!</v>
      </c>
      <c r="C15" s="109" t="e">
        <f>CAPA!#REF!</f>
        <v>#REF!</v>
      </c>
      <c r="D15" s="86" t="e">
        <f>'QUADRO II'!#REF!</f>
        <v>#REF!</v>
      </c>
      <c r="E15" s="109" t="e">
        <f>'QUADRO II'!#REF!</f>
        <v>#REF!</v>
      </c>
      <c r="F15" s="109" t="e">
        <f>('QUADRO II'!#REF!)+('QUADRO II'!#REF!)</f>
        <v>#REF!</v>
      </c>
      <c r="G15" s="109" t="e">
        <f t="shared" si="0"/>
        <v>#REF!</v>
      </c>
      <c r="H15" s="321" t="e">
        <f>('QUADRO II'!#REF!)</f>
        <v>#REF!</v>
      </c>
      <c r="I15" s="109" t="e">
        <f>('QUADRO II'!#REF!)</f>
        <v>#REF!</v>
      </c>
      <c r="J15" s="23"/>
      <c r="K15" s="202"/>
    </row>
    <row r="16" spans="1:11" ht="12" customHeight="1" x14ac:dyDescent="0.25">
      <c r="A16" s="200"/>
      <c r="B16" s="24" t="e">
        <f>('QUADRO II'!#REF!)</f>
        <v>#REF!</v>
      </c>
      <c r="C16" s="109" t="e">
        <f>CAPA!#REF!</f>
        <v>#REF!</v>
      </c>
      <c r="D16" s="86" t="e">
        <f>'QUADRO II'!#REF!</f>
        <v>#REF!</v>
      </c>
      <c r="E16" s="109" t="e">
        <f>'QUADRO II'!#REF!</f>
        <v>#REF!</v>
      </c>
      <c r="F16" s="109" t="e">
        <f>('QUADRO II'!#REF!)+('QUADRO II'!#REF!)</f>
        <v>#REF!</v>
      </c>
      <c r="G16" s="109" t="e">
        <f t="shared" si="0"/>
        <v>#REF!</v>
      </c>
      <c r="H16" s="321" t="e">
        <f>('QUADRO II'!#REF!)</f>
        <v>#REF!</v>
      </c>
      <c r="I16" s="109" t="e">
        <f>('QUADRO II'!#REF!)</f>
        <v>#REF!</v>
      </c>
      <c r="J16" s="23"/>
      <c r="K16" s="202"/>
    </row>
    <row r="17" spans="1:11" ht="12" customHeight="1" x14ac:dyDescent="0.25">
      <c r="A17" s="200"/>
      <c r="B17" s="24" t="e">
        <f>('QUADRO II'!#REF!)</f>
        <v>#REF!</v>
      </c>
      <c r="C17" s="109" t="e">
        <f>CAPA!#REF!</f>
        <v>#REF!</v>
      </c>
      <c r="D17" s="86" t="e">
        <f>'QUADRO II'!#REF!</f>
        <v>#REF!</v>
      </c>
      <c r="E17" s="109" t="e">
        <f>'QUADRO II'!#REF!</f>
        <v>#REF!</v>
      </c>
      <c r="F17" s="109" t="e">
        <f>('QUADRO II'!#REF!)+('QUADRO II'!#REF!)</f>
        <v>#REF!</v>
      </c>
      <c r="G17" s="109" t="e">
        <f t="shared" si="0"/>
        <v>#REF!</v>
      </c>
      <c r="H17" s="321" t="e">
        <f>('QUADRO II'!#REF!)</f>
        <v>#REF!</v>
      </c>
      <c r="I17" s="109" t="e">
        <f>('QUADRO II'!#REF!)</f>
        <v>#REF!</v>
      </c>
      <c r="J17" s="23"/>
      <c r="K17" s="202"/>
    </row>
    <row r="18" spans="1:11" ht="12" customHeight="1" x14ac:dyDescent="0.25">
      <c r="A18" s="200"/>
      <c r="B18" s="24" t="e">
        <f>('QUADRO II'!#REF!)</f>
        <v>#REF!</v>
      </c>
      <c r="C18" s="109" t="e">
        <f>CAPA!#REF!</f>
        <v>#REF!</v>
      </c>
      <c r="D18" s="86" t="e">
        <f>'QUADRO II'!#REF!</f>
        <v>#REF!</v>
      </c>
      <c r="E18" s="109" t="e">
        <f>'QUADRO II'!#REF!</f>
        <v>#REF!</v>
      </c>
      <c r="F18" s="109" t="e">
        <f>('QUADRO II'!#REF!)+('QUADRO II'!#REF!)</f>
        <v>#REF!</v>
      </c>
      <c r="G18" s="109" t="e">
        <f t="shared" si="0"/>
        <v>#REF!</v>
      </c>
      <c r="H18" s="321" t="e">
        <f>('QUADRO II'!#REF!)</f>
        <v>#REF!</v>
      </c>
      <c r="I18" s="109" t="e">
        <f>('QUADRO II'!#REF!)</f>
        <v>#REF!</v>
      </c>
      <c r="J18" s="23"/>
      <c r="K18" s="202"/>
    </row>
    <row r="19" spans="1:11" ht="12" customHeight="1" x14ac:dyDescent="0.25">
      <c r="A19" s="200"/>
      <c r="B19" s="24" t="e">
        <f>('QUADRO II'!#REF!)</f>
        <v>#REF!</v>
      </c>
      <c r="C19" s="109" t="e">
        <f>CAPA!#REF!</f>
        <v>#REF!</v>
      </c>
      <c r="D19" s="86" t="e">
        <f>'QUADRO II'!#REF!</f>
        <v>#REF!</v>
      </c>
      <c r="E19" s="109" t="e">
        <f>'QUADRO II'!#REF!</f>
        <v>#REF!</v>
      </c>
      <c r="F19" s="109" t="e">
        <f>('QUADRO II'!#REF!)+('QUADRO II'!#REF!)</f>
        <v>#REF!</v>
      </c>
      <c r="G19" s="109" t="e">
        <f t="shared" si="0"/>
        <v>#REF!</v>
      </c>
      <c r="H19" s="321" t="e">
        <f>('QUADRO II'!#REF!)</f>
        <v>#REF!</v>
      </c>
      <c r="I19" s="109" t="e">
        <f>('QUADRO II'!#REF!)</f>
        <v>#REF!</v>
      </c>
      <c r="J19" s="23"/>
      <c r="K19" s="202"/>
    </row>
    <row r="20" spans="1:11" ht="12" customHeight="1" x14ac:dyDescent="0.25">
      <c r="A20" s="200"/>
      <c r="B20" s="24" t="e">
        <f>('QUADRO II'!#REF!)</f>
        <v>#REF!</v>
      </c>
      <c r="C20" s="109" t="e">
        <f>CAPA!#REF!</f>
        <v>#REF!</v>
      </c>
      <c r="D20" s="86" t="e">
        <f>'QUADRO II'!#REF!</f>
        <v>#REF!</v>
      </c>
      <c r="E20" s="109" t="e">
        <f>'QUADRO II'!#REF!</f>
        <v>#REF!</v>
      </c>
      <c r="F20" s="109" t="e">
        <f>('QUADRO II'!#REF!)+('QUADRO II'!#REF!)</f>
        <v>#REF!</v>
      </c>
      <c r="G20" s="109" t="e">
        <f t="shared" si="0"/>
        <v>#REF!</v>
      </c>
      <c r="H20" s="321" t="e">
        <f>('QUADRO II'!#REF!)</f>
        <v>#REF!</v>
      </c>
      <c r="I20" s="109" t="e">
        <f>('QUADRO II'!#REF!)</f>
        <v>#REF!</v>
      </c>
      <c r="J20" s="23"/>
      <c r="K20" s="202"/>
    </row>
    <row r="21" spans="1:11" ht="12" customHeight="1" x14ac:dyDescent="0.25">
      <c r="A21" s="200"/>
      <c r="B21" s="24" t="e">
        <f>('QUADRO II'!#REF!)</f>
        <v>#REF!</v>
      </c>
      <c r="C21" s="109" t="e">
        <f>CAPA!#REF!</f>
        <v>#REF!</v>
      </c>
      <c r="D21" s="86" t="e">
        <f>'QUADRO II'!#REF!</f>
        <v>#REF!</v>
      </c>
      <c r="E21" s="109" t="e">
        <f>'QUADRO II'!#REF!</f>
        <v>#REF!</v>
      </c>
      <c r="F21" s="109" t="e">
        <f>('QUADRO II'!#REF!)+('QUADRO II'!#REF!)</f>
        <v>#REF!</v>
      </c>
      <c r="G21" s="109" t="e">
        <f t="shared" si="0"/>
        <v>#REF!</v>
      </c>
      <c r="H21" s="321" t="e">
        <f>('QUADRO II'!#REF!)</f>
        <v>#REF!</v>
      </c>
      <c r="I21" s="109" t="e">
        <f>('QUADRO II'!#REF!)</f>
        <v>#REF!</v>
      </c>
      <c r="J21" s="23"/>
      <c r="K21" s="202"/>
    </row>
    <row r="22" spans="1:11" ht="12" customHeight="1" x14ac:dyDescent="0.25">
      <c r="A22" s="200"/>
      <c r="B22" s="24" t="e">
        <f>('QUADRO II'!#REF!)</f>
        <v>#REF!</v>
      </c>
      <c r="C22" s="109" t="e">
        <f>CAPA!#REF!</f>
        <v>#REF!</v>
      </c>
      <c r="D22" s="86" t="e">
        <f>'QUADRO II'!#REF!</f>
        <v>#REF!</v>
      </c>
      <c r="E22" s="109" t="e">
        <f>'QUADRO II'!#REF!</f>
        <v>#REF!</v>
      </c>
      <c r="F22" s="109" t="e">
        <f>('QUADRO II'!#REF!)+('QUADRO II'!#REF!)</f>
        <v>#REF!</v>
      </c>
      <c r="G22" s="109" t="e">
        <f t="shared" si="0"/>
        <v>#REF!</v>
      </c>
      <c r="H22" s="321" t="e">
        <f>('QUADRO II'!#REF!)</f>
        <v>#REF!</v>
      </c>
      <c r="I22" s="109" t="e">
        <f>('QUADRO II'!#REF!)</f>
        <v>#REF!</v>
      </c>
      <c r="J22" s="23"/>
      <c r="K22" s="202"/>
    </row>
    <row r="23" spans="1:11" ht="12" customHeight="1" x14ac:dyDescent="0.25">
      <c r="A23" s="200"/>
      <c r="B23" s="24" t="e">
        <f>('QUADRO II'!#REF!)</f>
        <v>#REF!</v>
      </c>
      <c r="C23" s="109" t="e">
        <f>CAPA!#REF!</f>
        <v>#REF!</v>
      </c>
      <c r="D23" s="86" t="e">
        <f>'QUADRO II'!#REF!</f>
        <v>#REF!</v>
      </c>
      <c r="E23" s="109" t="e">
        <f>'QUADRO II'!#REF!</f>
        <v>#REF!</v>
      </c>
      <c r="F23" s="109" t="e">
        <f>('QUADRO II'!#REF!)+('QUADRO II'!#REF!)</f>
        <v>#REF!</v>
      </c>
      <c r="G23" s="109" t="e">
        <f t="shared" si="0"/>
        <v>#REF!</v>
      </c>
      <c r="H23" s="321" t="e">
        <f>('QUADRO II'!#REF!)</f>
        <v>#REF!</v>
      </c>
      <c r="I23" s="109" t="e">
        <f>('QUADRO II'!#REF!)</f>
        <v>#REF!</v>
      </c>
      <c r="J23" s="23"/>
      <c r="K23" s="202"/>
    </row>
    <row r="24" spans="1:11" ht="12" customHeight="1" x14ac:dyDescent="0.25">
      <c r="A24" s="200"/>
      <c r="B24" s="24" t="e">
        <f>('QUADRO II'!#REF!)</f>
        <v>#REF!</v>
      </c>
      <c r="C24" s="109" t="e">
        <f>CAPA!#REF!</f>
        <v>#REF!</v>
      </c>
      <c r="D24" s="86" t="e">
        <f>'QUADRO II'!#REF!</f>
        <v>#REF!</v>
      </c>
      <c r="E24" s="109" t="e">
        <f>'QUADRO II'!#REF!</f>
        <v>#REF!</v>
      </c>
      <c r="F24" s="109" t="e">
        <f>('QUADRO II'!#REF!)+('QUADRO II'!#REF!)</f>
        <v>#REF!</v>
      </c>
      <c r="G24" s="109" t="e">
        <f t="shared" si="0"/>
        <v>#REF!</v>
      </c>
      <c r="H24" s="321" t="e">
        <f>('QUADRO II'!#REF!)</f>
        <v>#REF!</v>
      </c>
      <c r="I24" s="109" t="e">
        <f>('QUADRO II'!#REF!)</f>
        <v>#REF!</v>
      </c>
      <c r="J24" s="23"/>
      <c r="K24" s="202"/>
    </row>
    <row r="25" spans="1:11" ht="12" customHeight="1" x14ac:dyDescent="0.25">
      <c r="A25" s="200"/>
      <c r="B25" s="24" t="e">
        <f>('QUADRO II'!#REF!)</f>
        <v>#REF!</v>
      </c>
      <c r="C25" s="109" t="e">
        <f>CAPA!#REF!</f>
        <v>#REF!</v>
      </c>
      <c r="D25" s="86" t="e">
        <f>'QUADRO II'!#REF!</f>
        <v>#REF!</v>
      </c>
      <c r="E25" s="109" t="e">
        <f>'QUADRO II'!#REF!</f>
        <v>#REF!</v>
      </c>
      <c r="F25" s="109" t="e">
        <f>('QUADRO II'!#REF!)+('QUADRO II'!#REF!)</f>
        <v>#REF!</v>
      </c>
      <c r="G25" s="109" t="e">
        <f t="shared" si="0"/>
        <v>#REF!</v>
      </c>
      <c r="H25" s="321" t="e">
        <f>('QUADRO II'!#REF!)</f>
        <v>#REF!</v>
      </c>
      <c r="I25" s="109" t="e">
        <f>('QUADRO II'!#REF!)</f>
        <v>#REF!</v>
      </c>
      <c r="J25" s="23"/>
      <c r="K25" s="202"/>
    </row>
    <row r="26" spans="1:11" ht="12" customHeight="1" x14ac:dyDescent="0.25">
      <c r="A26" s="200"/>
      <c r="B26" s="24" t="e">
        <f>('QUADRO II'!#REF!)</f>
        <v>#REF!</v>
      </c>
      <c r="C26" s="109" t="e">
        <f>CAPA!#REF!</f>
        <v>#REF!</v>
      </c>
      <c r="D26" s="86" t="e">
        <f>'QUADRO II'!#REF!</f>
        <v>#REF!</v>
      </c>
      <c r="E26" s="109" t="e">
        <f>'QUADRO II'!#REF!</f>
        <v>#REF!</v>
      </c>
      <c r="F26" s="109" t="e">
        <f>('QUADRO II'!#REF!)+('QUADRO II'!#REF!)</f>
        <v>#REF!</v>
      </c>
      <c r="G26" s="109" t="e">
        <f t="shared" si="0"/>
        <v>#REF!</v>
      </c>
      <c r="H26" s="321" t="e">
        <f>('QUADRO II'!#REF!)</f>
        <v>#REF!</v>
      </c>
      <c r="I26" s="109" t="e">
        <f>('QUADRO II'!#REF!)</f>
        <v>#REF!</v>
      </c>
      <c r="J26" s="23"/>
      <c r="K26" s="202"/>
    </row>
    <row r="27" spans="1:11" ht="12" customHeight="1" x14ac:dyDescent="0.25">
      <c r="A27" s="200"/>
      <c r="B27" s="24" t="e">
        <f>('QUADRO II'!#REF!)</f>
        <v>#REF!</v>
      </c>
      <c r="C27" s="109" t="e">
        <f>CAPA!#REF!</f>
        <v>#REF!</v>
      </c>
      <c r="D27" s="86" t="e">
        <f>'QUADRO II'!#REF!</f>
        <v>#REF!</v>
      </c>
      <c r="E27" s="109" t="e">
        <f>'QUADRO II'!#REF!</f>
        <v>#REF!</v>
      </c>
      <c r="F27" s="109" t="e">
        <f>('QUADRO II'!#REF!)+('QUADRO II'!#REF!)</f>
        <v>#REF!</v>
      </c>
      <c r="G27" s="109" t="e">
        <f t="shared" si="0"/>
        <v>#REF!</v>
      </c>
      <c r="H27" s="321" t="e">
        <f>('QUADRO II'!#REF!)</f>
        <v>#REF!</v>
      </c>
      <c r="I27" s="109" t="e">
        <f>('QUADRO II'!#REF!)</f>
        <v>#REF!</v>
      </c>
      <c r="J27" s="23"/>
      <c r="K27" s="202"/>
    </row>
    <row r="28" spans="1:11" ht="12" customHeight="1" x14ac:dyDescent="0.25">
      <c r="A28" s="200"/>
      <c r="B28" s="24" t="e">
        <f>('QUADRO II'!#REF!)</f>
        <v>#REF!</v>
      </c>
      <c r="C28" s="109" t="e">
        <f>CAPA!#REF!</f>
        <v>#REF!</v>
      </c>
      <c r="D28" s="86" t="e">
        <f>'QUADRO II'!#REF!</f>
        <v>#REF!</v>
      </c>
      <c r="E28" s="109" t="e">
        <f>'QUADRO II'!#REF!</f>
        <v>#REF!</v>
      </c>
      <c r="F28" s="109" t="e">
        <f>('QUADRO II'!#REF!)+('QUADRO II'!#REF!)</f>
        <v>#REF!</v>
      </c>
      <c r="G28" s="109" t="e">
        <f t="shared" si="0"/>
        <v>#REF!</v>
      </c>
      <c r="H28" s="321" t="e">
        <f>('QUADRO II'!#REF!)</f>
        <v>#REF!</v>
      </c>
      <c r="I28" s="109" t="e">
        <f>('QUADRO II'!#REF!)</f>
        <v>#REF!</v>
      </c>
      <c r="J28" s="23"/>
      <c r="K28" s="202"/>
    </row>
    <row r="29" spans="1:11" ht="12" customHeight="1" x14ac:dyDescent="0.25">
      <c r="A29" s="200"/>
      <c r="B29" s="24" t="e">
        <f>('QUADRO II'!#REF!)</f>
        <v>#REF!</v>
      </c>
      <c r="C29" s="109" t="e">
        <f>CAPA!#REF!</f>
        <v>#REF!</v>
      </c>
      <c r="D29" s="86" t="e">
        <f>'QUADRO II'!#REF!</f>
        <v>#REF!</v>
      </c>
      <c r="E29" s="109" t="e">
        <f>'QUADRO II'!#REF!</f>
        <v>#REF!</v>
      </c>
      <c r="F29" s="109" t="e">
        <f>('QUADRO II'!#REF!)+('QUADRO II'!#REF!)</f>
        <v>#REF!</v>
      </c>
      <c r="G29" s="109" t="e">
        <f t="shared" si="0"/>
        <v>#REF!</v>
      </c>
      <c r="H29" s="321" t="e">
        <f>('QUADRO II'!#REF!)</f>
        <v>#REF!</v>
      </c>
      <c r="I29" s="109" t="e">
        <f>('QUADRO II'!#REF!)</f>
        <v>#REF!</v>
      </c>
      <c r="J29" s="23"/>
      <c r="K29" s="202"/>
    </row>
    <row r="30" spans="1:11" ht="12" customHeight="1" x14ac:dyDescent="0.25">
      <c r="A30" s="200"/>
      <c r="B30" s="24" t="e">
        <f>('QUADRO II'!#REF!)</f>
        <v>#REF!</v>
      </c>
      <c r="C30" s="109" t="e">
        <f>CAPA!#REF!</f>
        <v>#REF!</v>
      </c>
      <c r="D30" s="86" t="e">
        <f>'QUADRO II'!#REF!</f>
        <v>#REF!</v>
      </c>
      <c r="E30" s="109" t="e">
        <f>'QUADRO II'!#REF!</f>
        <v>#REF!</v>
      </c>
      <c r="F30" s="109" t="e">
        <f>('QUADRO II'!#REF!)+('QUADRO II'!#REF!)</f>
        <v>#REF!</v>
      </c>
      <c r="G30" s="109" t="e">
        <f t="shared" si="0"/>
        <v>#REF!</v>
      </c>
      <c r="H30" s="321" t="e">
        <f>('QUADRO II'!#REF!)</f>
        <v>#REF!</v>
      </c>
      <c r="I30" s="109" t="e">
        <f>('QUADRO II'!#REF!)</f>
        <v>#REF!</v>
      </c>
      <c r="J30" s="23"/>
      <c r="K30" s="202"/>
    </row>
    <row r="31" spans="1:11" ht="12" customHeight="1" x14ac:dyDescent="0.25">
      <c r="A31" s="200"/>
      <c r="B31" s="24" t="e">
        <f>('QUADRO II'!#REF!)</f>
        <v>#REF!</v>
      </c>
      <c r="C31" s="109" t="e">
        <f>CAPA!#REF!</f>
        <v>#REF!</v>
      </c>
      <c r="D31" s="86" t="e">
        <f>'QUADRO II'!#REF!</f>
        <v>#REF!</v>
      </c>
      <c r="E31" s="109" t="e">
        <f>'QUADRO II'!#REF!</f>
        <v>#REF!</v>
      </c>
      <c r="F31" s="109" t="e">
        <f>('QUADRO II'!#REF!)+('QUADRO II'!#REF!)</f>
        <v>#REF!</v>
      </c>
      <c r="G31" s="109" t="e">
        <f t="shared" si="0"/>
        <v>#REF!</v>
      </c>
      <c r="H31" s="321" t="e">
        <f>('QUADRO II'!#REF!)</f>
        <v>#REF!</v>
      </c>
      <c r="I31" s="109" t="e">
        <f>('QUADRO II'!#REF!)</f>
        <v>#REF!</v>
      </c>
      <c r="J31" s="23"/>
      <c r="K31" s="202"/>
    </row>
    <row r="32" spans="1:11" ht="12" customHeight="1" x14ac:dyDescent="0.25">
      <c r="A32" s="200"/>
      <c r="B32" s="24" t="e">
        <f>('QUADRO II'!#REF!)</f>
        <v>#REF!</v>
      </c>
      <c r="C32" s="109" t="e">
        <f>CAPA!#REF!</f>
        <v>#REF!</v>
      </c>
      <c r="D32" s="86" t="e">
        <f>'QUADRO II'!#REF!</f>
        <v>#REF!</v>
      </c>
      <c r="E32" s="109" t="e">
        <f>'QUADRO II'!#REF!</f>
        <v>#REF!</v>
      </c>
      <c r="F32" s="109" t="e">
        <f>('QUADRO II'!#REF!)+('QUADRO II'!#REF!)</f>
        <v>#REF!</v>
      </c>
      <c r="G32" s="109" t="e">
        <f t="shared" si="0"/>
        <v>#REF!</v>
      </c>
      <c r="H32" s="321" t="e">
        <f>('QUADRO II'!#REF!)</f>
        <v>#REF!</v>
      </c>
      <c r="I32" s="109" t="e">
        <f>('QUADRO II'!#REF!)</f>
        <v>#REF!</v>
      </c>
      <c r="J32" s="23"/>
      <c r="K32" s="202"/>
    </row>
    <row r="33" spans="1:11" ht="12" customHeight="1" x14ac:dyDescent="0.25">
      <c r="A33" s="200"/>
      <c r="B33" s="24" t="e">
        <f>('QUADRO II'!#REF!)</f>
        <v>#REF!</v>
      </c>
      <c r="C33" s="109" t="e">
        <f>CAPA!#REF!</f>
        <v>#REF!</v>
      </c>
      <c r="D33" s="86" t="e">
        <f>'QUADRO II'!#REF!</f>
        <v>#REF!</v>
      </c>
      <c r="E33" s="109" t="e">
        <f>'QUADRO II'!#REF!</f>
        <v>#REF!</v>
      </c>
      <c r="F33" s="109" t="e">
        <f>('QUADRO II'!#REF!)+('QUADRO II'!#REF!)</f>
        <v>#REF!</v>
      </c>
      <c r="G33" s="109" t="e">
        <f t="shared" si="0"/>
        <v>#REF!</v>
      </c>
      <c r="H33" s="321" t="e">
        <f>('QUADRO II'!#REF!)</f>
        <v>#REF!</v>
      </c>
      <c r="I33" s="109" t="e">
        <f>('QUADRO II'!#REF!)</f>
        <v>#REF!</v>
      </c>
      <c r="J33" s="23"/>
      <c r="K33" s="202"/>
    </row>
    <row r="34" spans="1:11" ht="12" customHeight="1" x14ac:dyDescent="0.25">
      <c r="A34" s="200"/>
      <c r="B34" s="24" t="e">
        <f>('QUADRO II'!#REF!)</f>
        <v>#REF!</v>
      </c>
      <c r="C34" s="109" t="e">
        <f>CAPA!#REF!</f>
        <v>#REF!</v>
      </c>
      <c r="D34" s="86" t="e">
        <f>'QUADRO II'!#REF!</f>
        <v>#REF!</v>
      </c>
      <c r="E34" s="109" t="e">
        <f>'QUADRO II'!#REF!</f>
        <v>#REF!</v>
      </c>
      <c r="F34" s="109" t="e">
        <f>('QUADRO II'!#REF!)+('QUADRO II'!#REF!)</f>
        <v>#REF!</v>
      </c>
      <c r="G34" s="109" t="e">
        <f t="shared" si="0"/>
        <v>#REF!</v>
      </c>
      <c r="H34" s="321" t="e">
        <f>('QUADRO II'!#REF!)</f>
        <v>#REF!</v>
      </c>
      <c r="I34" s="109" t="e">
        <f>('QUADRO II'!#REF!)</f>
        <v>#REF!</v>
      </c>
      <c r="J34" s="23"/>
      <c r="K34" s="202"/>
    </row>
    <row r="35" spans="1:11" ht="12" customHeight="1" x14ac:dyDescent="0.25">
      <c r="A35" s="200"/>
      <c r="B35" s="24" t="e">
        <f>('QUADRO II'!#REF!)</f>
        <v>#REF!</v>
      </c>
      <c r="C35" s="109" t="e">
        <f>CAPA!#REF!</f>
        <v>#REF!</v>
      </c>
      <c r="D35" s="86" t="e">
        <f>'QUADRO II'!#REF!</f>
        <v>#REF!</v>
      </c>
      <c r="E35" s="109" t="e">
        <f>'QUADRO II'!#REF!</f>
        <v>#REF!</v>
      </c>
      <c r="F35" s="109" t="e">
        <f>('QUADRO II'!#REF!)+('QUADRO II'!#REF!)</f>
        <v>#REF!</v>
      </c>
      <c r="G35" s="109" t="e">
        <f t="shared" si="0"/>
        <v>#REF!</v>
      </c>
      <c r="H35" s="321" t="e">
        <f>('QUADRO II'!#REF!)</f>
        <v>#REF!</v>
      </c>
      <c r="I35" s="109" t="e">
        <f>('QUADRO II'!#REF!)</f>
        <v>#REF!</v>
      </c>
      <c r="J35" s="23"/>
      <c r="K35" s="202"/>
    </row>
    <row r="36" spans="1:11" ht="12" customHeight="1" x14ac:dyDescent="0.25">
      <c r="A36" s="200"/>
      <c r="B36" s="24" t="e">
        <f>('QUADRO II'!#REF!)</f>
        <v>#REF!</v>
      </c>
      <c r="C36" s="109" t="e">
        <f>CAPA!#REF!</f>
        <v>#REF!</v>
      </c>
      <c r="D36" s="86" t="e">
        <f>'QUADRO II'!#REF!</f>
        <v>#REF!</v>
      </c>
      <c r="E36" s="109" t="e">
        <f>'QUADRO II'!#REF!</f>
        <v>#REF!</v>
      </c>
      <c r="F36" s="109" t="e">
        <f>('QUADRO II'!#REF!)+('QUADRO II'!#REF!)</f>
        <v>#REF!</v>
      </c>
      <c r="G36" s="109" t="e">
        <f t="shared" si="0"/>
        <v>#REF!</v>
      </c>
      <c r="H36" s="321" t="e">
        <f>('QUADRO II'!#REF!)</f>
        <v>#REF!</v>
      </c>
      <c r="I36" s="109" t="e">
        <f>('QUADRO II'!#REF!)</f>
        <v>#REF!</v>
      </c>
      <c r="J36" s="23"/>
      <c r="K36" s="202"/>
    </row>
    <row r="37" spans="1:11" ht="12" customHeight="1" x14ac:dyDescent="0.25">
      <c r="A37" s="200"/>
      <c r="B37" s="24" t="e">
        <f>('QUADRO II'!#REF!)</f>
        <v>#REF!</v>
      </c>
      <c r="C37" s="109" t="e">
        <f>CAPA!#REF!</f>
        <v>#REF!</v>
      </c>
      <c r="D37" s="86" t="e">
        <f>'QUADRO II'!#REF!</f>
        <v>#REF!</v>
      </c>
      <c r="E37" s="109" t="e">
        <f>'QUADRO II'!#REF!</f>
        <v>#REF!</v>
      </c>
      <c r="F37" s="109" t="e">
        <f>('QUADRO II'!#REF!)+('QUADRO II'!#REF!)</f>
        <v>#REF!</v>
      </c>
      <c r="G37" s="109" t="e">
        <f t="shared" si="0"/>
        <v>#REF!</v>
      </c>
      <c r="H37" s="321" t="e">
        <f>('QUADRO II'!#REF!)</f>
        <v>#REF!</v>
      </c>
      <c r="I37" s="109" t="e">
        <f>('QUADRO II'!#REF!)</f>
        <v>#REF!</v>
      </c>
      <c r="J37" s="23"/>
      <c r="K37" s="202"/>
    </row>
    <row r="38" spans="1:11" ht="12" customHeight="1" x14ac:dyDescent="0.25">
      <c r="A38" s="200"/>
      <c r="B38" s="24" t="e">
        <f>('QUADRO II'!#REF!)</f>
        <v>#REF!</v>
      </c>
      <c r="C38" s="109" t="e">
        <f>CAPA!#REF!</f>
        <v>#REF!</v>
      </c>
      <c r="D38" s="86" t="e">
        <f>'QUADRO II'!#REF!</f>
        <v>#REF!</v>
      </c>
      <c r="E38" s="109" t="e">
        <f>'QUADRO II'!#REF!</f>
        <v>#REF!</v>
      </c>
      <c r="F38" s="109" t="e">
        <f>('QUADRO II'!#REF!)+('QUADRO II'!#REF!)</f>
        <v>#REF!</v>
      </c>
      <c r="G38" s="109" t="e">
        <f t="shared" si="0"/>
        <v>#REF!</v>
      </c>
      <c r="H38" s="321" t="e">
        <f>('QUADRO II'!#REF!)</f>
        <v>#REF!</v>
      </c>
      <c r="I38" s="109" t="e">
        <f>('QUADRO II'!#REF!)</f>
        <v>#REF!</v>
      </c>
      <c r="J38" s="23"/>
      <c r="K38" s="202"/>
    </row>
    <row r="39" spans="1:11" ht="12" customHeight="1" x14ac:dyDescent="0.25">
      <c r="A39" s="200"/>
      <c r="B39" s="24" t="e">
        <f>('QUADRO II'!#REF!)</f>
        <v>#REF!</v>
      </c>
      <c r="C39" s="109" t="e">
        <f>CAPA!#REF!</f>
        <v>#REF!</v>
      </c>
      <c r="D39" s="86" t="e">
        <f>'QUADRO II'!#REF!</f>
        <v>#REF!</v>
      </c>
      <c r="E39" s="109" t="e">
        <f>'QUADRO II'!#REF!</f>
        <v>#REF!</v>
      </c>
      <c r="F39" s="109" t="e">
        <f>('QUADRO II'!#REF!)+('QUADRO II'!#REF!)</f>
        <v>#REF!</v>
      </c>
      <c r="G39" s="109" t="e">
        <f t="shared" si="0"/>
        <v>#REF!</v>
      </c>
      <c r="H39" s="321" t="e">
        <f>('QUADRO II'!#REF!)</f>
        <v>#REF!</v>
      </c>
      <c r="I39" s="109" t="e">
        <f>('QUADRO II'!#REF!)</f>
        <v>#REF!</v>
      </c>
      <c r="J39" s="23"/>
      <c r="K39" s="202"/>
    </row>
    <row r="40" spans="1:11" ht="12" customHeight="1" x14ac:dyDescent="0.25">
      <c r="A40" s="200"/>
      <c r="B40" s="24" t="e">
        <f>('QUADRO II'!#REF!)</f>
        <v>#REF!</v>
      </c>
      <c r="C40" s="109" t="e">
        <f>CAPA!#REF!</f>
        <v>#REF!</v>
      </c>
      <c r="D40" s="86" t="e">
        <f>'QUADRO II'!#REF!</f>
        <v>#REF!</v>
      </c>
      <c r="E40" s="109" t="e">
        <f>'QUADRO II'!#REF!</f>
        <v>#REF!</v>
      </c>
      <c r="F40" s="109" t="e">
        <f>('QUADRO II'!#REF!)+('QUADRO II'!#REF!)</f>
        <v>#REF!</v>
      </c>
      <c r="G40" s="109" t="e">
        <f t="shared" si="0"/>
        <v>#REF!</v>
      </c>
      <c r="H40" s="321" t="e">
        <f>('QUADRO II'!#REF!)</f>
        <v>#REF!</v>
      </c>
      <c r="I40" s="109" t="e">
        <f>('QUADRO II'!#REF!)</f>
        <v>#REF!</v>
      </c>
      <c r="J40" s="23"/>
      <c r="K40" s="202"/>
    </row>
    <row r="41" spans="1:11" ht="12" customHeight="1" x14ac:dyDescent="0.25">
      <c r="A41" s="200"/>
      <c r="B41" s="24" t="e">
        <f>('QUADRO II'!#REF!)</f>
        <v>#REF!</v>
      </c>
      <c r="C41" s="109" t="e">
        <f>CAPA!#REF!</f>
        <v>#REF!</v>
      </c>
      <c r="D41" s="86" t="e">
        <f>'QUADRO II'!#REF!</f>
        <v>#REF!</v>
      </c>
      <c r="E41" s="109" t="e">
        <f>'QUADRO II'!#REF!</f>
        <v>#REF!</v>
      </c>
      <c r="F41" s="109" t="e">
        <f>('QUADRO II'!#REF!)+('QUADRO II'!#REF!)</f>
        <v>#REF!</v>
      </c>
      <c r="G41" s="109" t="e">
        <f t="shared" si="0"/>
        <v>#REF!</v>
      </c>
      <c r="H41" s="321" t="e">
        <f>('QUADRO II'!#REF!)</f>
        <v>#REF!</v>
      </c>
      <c r="I41" s="109" t="e">
        <f>('QUADRO II'!#REF!)</f>
        <v>#REF!</v>
      </c>
      <c r="J41" s="23"/>
      <c r="K41" s="202"/>
    </row>
    <row r="42" spans="1:11" ht="12" customHeight="1" x14ac:dyDescent="0.25">
      <c r="A42" s="200"/>
      <c r="B42" s="24" t="e">
        <f>('QUADRO II'!#REF!)</f>
        <v>#REF!</v>
      </c>
      <c r="C42" s="109" t="e">
        <f>CAPA!#REF!</f>
        <v>#REF!</v>
      </c>
      <c r="D42" s="86" t="e">
        <f>'QUADRO II'!#REF!</f>
        <v>#REF!</v>
      </c>
      <c r="E42" s="109" t="e">
        <f>'QUADRO II'!#REF!</f>
        <v>#REF!</v>
      </c>
      <c r="F42" s="109" t="e">
        <f>('QUADRO II'!#REF!)+('QUADRO II'!#REF!)</f>
        <v>#REF!</v>
      </c>
      <c r="G42" s="109" t="e">
        <f t="shared" si="0"/>
        <v>#REF!</v>
      </c>
      <c r="H42" s="321" t="e">
        <f>('QUADRO II'!#REF!)</f>
        <v>#REF!</v>
      </c>
      <c r="I42" s="109" t="e">
        <f>('QUADRO II'!#REF!)</f>
        <v>#REF!</v>
      </c>
      <c r="J42" s="23"/>
      <c r="K42" s="202"/>
    </row>
    <row r="43" spans="1:11" ht="12" customHeight="1" x14ac:dyDescent="0.25">
      <c r="A43" s="200"/>
      <c r="B43" s="24" t="e">
        <f>('QUADRO II'!#REF!)</f>
        <v>#REF!</v>
      </c>
      <c r="C43" s="109" t="e">
        <f>CAPA!#REF!</f>
        <v>#REF!</v>
      </c>
      <c r="D43" s="86" t="e">
        <f>'QUADRO II'!#REF!</f>
        <v>#REF!</v>
      </c>
      <c r="E43" s="109" t="e">
        <f>'QUADRO II'!#REF!</f>
        <v>#REF!</v>
      </c>
      <c r="F43" s="109" t="e">
        <f>('QUADRO II'!#REF!)+('QUADRO II'!#REF!)</f>
        <v>#REF!</v>
      </c>
      <c r="G43" s="109" t="e">
        <f t="shared" si="0"/>
        <v>#REF!</v>
      </c>
      <c r="H43" s="321" t="e">
        <f>('QUADRO II'!#REF!)</f>
        <v>#REF!</v>
      </c>
      <c r="I43" s="109" t="e">
        <f>('QUADRO II'!#REF!)</f>
        <v>#REF!</v>
      </c>
      <c r="J43" s="23"/>
      <c r="K43" s="202"/>
    </row>
    <row r="44" spans="1:11" ht="12" customHeight="1" x14ac:dyDescent="0.25">
      <c r="A44" s="200"/>
      <c r="B44" s="24" t="e">
        <f>('QUADRO II'!#REF!)</f>
        <v>#REF!</v>
      </c>
      <c r="C44" s="109" t="e">
        <f>CAPA!#REF!</f>
        <v>#REF!</v>
      </c>
      <c r="D44" s="86" t="e">
        <f>'QUADRO II'!#REF!</f>
        <v>#REF!</v>
      </c>
      <c r="E44" s="109" t="e">
        <f>'QUADRO II'!#REF!</f>
        <v>#REF!</v>
      </c>
      <c r="F44" s="109" t="e">
        <f>('QUADRO II'!#REF!)+('QUADRO II'!#REF!)</f>
        <v>#REF!</v>
      </c>
      <c r="G44" s="109" t="e">
        <f t="shared" si="0"/>
        <v>#REF!</v>
      </c>
      <c r="H44" s="321" t="e">
        <f>('QUADRO II'!#REF!)</f>
        <v>#REF!</v>
      </c>
      <c r="I44" s="109" t="e">
        <f>('QUADRO II'!#REF!)</f>
        <v>#REF!</v>
      </c>
      <c r="J44" s="23"/>
      <c r="K44" s="202"/>
    </row>
    <row r="45" spans="1:11" ht="12" customHeight="1" x14ac:dyDescent="0.25">
      <c r="A45" s="200"/>
      <c r="B45" s="24" t="e">
        <f>('QUADRO II'!#REF!)</f>
        <v>#REF!</v>
      </c>
      <c r="C45" s="109" t="e">
        <f>CAPA!#REF!</f>
        <v>#REF!</v>
      </c>
      <c r="D45" s="86" t="e">
        <f>'QUADRO II'!#REF!</f>
        <v>#REF!</v>
      </c>
      <c r="E45" s="109" t="e">
        <f>'QUADRO II'!#REF!</f>
        <v>#REF!</v>
      </c>
      <c r="F45" s="109" t="e">
        <f>('QUADRO II'!#REF!)+('QUADRO II'!#REF!)</f>
        <v>#REF!</v>
      </c>
      <c r="G45" s="109" t="e">
        <f t="shared" si="0"/>
        <v>#REF!</v>
      </c>
      <c r="H45" s="321" t="e">
        <f>('QUADRO II'!#REF!)</f>
        <v>#REF!</v>
      </c>
      <c r="I45" s="109" t="e">
        <f>('QUADRO II'!#REF!)</f>
        <v>#REF!</v>
      </c>
      <c r="J45" s="23"/>
      <c r="K45" s="202"/>
    </row>
    <row r="46" spans="1:11" ht="12" customHeight="1" x14ac:dyDescent="0.25">
      <c r="A46" s="200"/>
      <c r="B46" s="24" t="e">
        <f>('QUADRO II'!#REF!)</f>
        <v>#REF!</v>
      </c>
      <c r="C46" s="109" t="e">
        <f>CAPA!#REF!</f>
        <v>#REF!</v>
      </c>
      <c r="D46" s="86" t="e">
        <f>'QUADRO II'!#REF!</f>
        <v>#REF!</v>
      </c>
      <c r="E46" s="109" t="e">
        <f>'QUADRO II'!#REF!</f>
        <v>#REF!</v>
      </c>
      <c r="F46" s="109" t="e">
        <f>('QUADRO II'!#REF!)+('QUADRO II'!#REF!)</f>
        <v>#REF!</v>
      </c>
      <c r="G46" s="109" t="e">
        <f t="shared" ref="G46:G77" si="1">SUM(E46+F46)</f>
        <v>#REF!</v>
      </c>
      <c r="H46" s="321" t="e">
        <f>('QUADRO II'!#REF!)</f>
        <v>#REF!</v>
      </c>
      <c r="I46" s="109" t="e">
        <f>('QUADRO II'!#REF!)</f>
        <v>#REF!</v>
      </c>
      <c r="J46" s="23"/>
      <c r="K46" s="202"/>
    </row>
    <row r="47" spans="1:11" ht="12" customHeight="1" x14ac:dyDescent="0.25">
      <c r="A47" s="200"/>
      <c r="B47" s="24" t="e">
        <f>('QUADRO II'!#REF!)</f>
        <v>#REF!</v>
      </c>
      <c r="C47" s="109" t="e">
        <f>CAPA!#REF!</f>
        <v>#REF!</v>
      </c>
      <c r="D47" s="86" t="e">
        <f>'QUADRO II'!#REF!</f>
        <v>#REF!</v>
      </c>
      <c r="E47" s="109" t="e">
        <f>'QUADRO II'!#REF!</f>
        <v>#REF!</v>
      </c>
      <c r="F47" s="109" t="e">
        <f>('QUADRO II'!#REF!)+('QUADRO II'!#REF!)</f>
        <v>#REF!</v>
      </c>
      <c r="G47" s="109" t="e">
        <f t="shared" si="1"/>
        <v>#REF!</v>
      </c>
      <c r="H47" s="321" t="e">
        <f>('QUADRO II'!#REF!)</f>
        <v>#REF!</v>
      </c>
      <c r="I47" s="109" t="e">
        <f>('QUADRO II'!#REF!)</f>
        <v>#REF!</v>
      </c>
      <c r="J47" s="23"/>
      <c r="K47" s="202"/>
    </row>
    <row r="48" spans="1:11" ht="12" customHeight="1" x14ac:dyDescent="0.25">
      <c r="A48" s="200"/>
      <c r="B48" s="24" t="e">
        <f>('QUADRO II'!#REF!)</f>
        <v>#REF!</v>
      </c>
      <c r="C48" s="109" t="e">
        <f>CAPA!#REF!</f>
        <v>#REF!</v>
      </c>
      <c r="D48" s="86" t="e">
        <f>'QUADRO II'!#REF!</f>
        <v>#REF!</v>
      </c>
      <c r="E48" s="109" t="e">
        <f>'QUADRO II'!#REF!</f>
        <v>#REF!</v>
      </c>
      <c r="F48" s="109" t="e">
        <f>('QUADRO II'!#REF!)+('QUADRO II'!#REF!)</f>
        <v>#REF!</v>
      </c>
      <c r="G48" s="109" t="e">
        <f t="shared" si="1"/>
        <v>#REF!</v>
      </c>
      <c r="H48" s="321" t="e">
        <f>('QUADRO II'!#REF!)</f>
        <v>#REF!</v>
      </c>
      <c r="I48" s="109" t="e">
        <f>('QUADRO II'!#REF!)</f>
        <v>#REF!</v>
      </c>
      <c r="J48" s="23"/>
      <c r="K48" s="202"/>
    </row>
    <row r="49" spans="1:11" ht="12" customHeight="1" x14ac:dyDescent="0.25">
      <c r="A49" s="200"/>
      <c r="B49" s="24" t="e">
        <f>('QUADRO II'!#REF!)</f>
        <v>#REF!</v>
      </c>
      <c r="C49" s="109" t="e">
        <f>CAPA!#REF!</f>
        <v>#REF!</v>
      </c>
      <c r="D49" s="86" t="e">
        <f>'QUADRO II'!#REF!</f>
        <v>#REF!</v>
      </c>
      <c r="E49" s="109" t="e">
        <f>'QUADRO II'!#REF!</f>
        <v>#REF!</v>
      </c>
      <c r="F49" s="109" t="e">
        <f>('QUADRO II'!#REF!)+('QUADRO II'!#REF!)</f>
        <v>#REF!</v>
      </c>
      <c r="G49" s="109" t="e">
        <f t="shared" si="1"/>
        <v>#REF!</v>
      </c>
      <c r="H49" s="321" t="e">
        <f>('QUADRO II'!#REF!)</f>
        <v>#REF!</v>
      </c>
      <c r="I49" s="109" t="e">
        <f>('QUADRO II'!#REF!)</f>
        <v>#REF!</v>
      </c>
      <c r="J49" s="23"/>
      <c r="K49" s="202"/>
    </row>
    <row r="50" spans="1:11" ht="12" customHeight="1" x14ac:dyDescent="0.25">
      <c r="A50" s="200"/>
      <c r="B50" s="24" t="e">
        <f>('QUADRO II'!#REF!)</f>
        <v>#REF!</v>
      </c>
      <c r="C50" s="109" t="e">
        <f>CAPA!#REF!</f>
        <v>#REF!</v>
      </c>
      <c r="D50" s="86" t="e">
        <f>'QUADRO II'!#REF!</f>
        <v>#REF!</v>
      </c>
      <c r="E50" s="109" t="e">
        <f>'QUADRO II'!#REF!</f>
        <v>#REF!</v>
      </c>
      <c r="F50" s="109" t="e">
        <f>('QUADRO II'!#REF!)+('QUADRO II'!#REF!)</f>
        <v>#REF!</v>
      </c>
      <c r="G50" s="109" t="e">
        <f t="shared" si="1"/>
        <v>#REF!</v>
      </c>
      <c r="H50" s="321" t="e">
        <f>('QUADRO II'!#REF!)</f>
        <v>#REF!</v>
      </c>
      <c r="I50" s="109" t="e">
        <f>('QUADRO II'!#REF!)</f>
        <v>#REF!</v>
      </c>
      <c r="J50" s="23"/>
      <c r="K50" s="202"/>
    </row>
    <row r="51" spans="1:11" ht="12" customHeight="1" x14ac:dyDescent="0.25">
      <c r="A51" s="200"/>
      <c r="B51" s="24" t="e">
        <f>('QUADRO II'!#REF!)</f>
        <v>#REF!</v>
      </c>
      <c r="C51" s="109" t="e">
        <f>CAPA!#REF!</f>
        <v>#REF!</v>
      </c>
      <c r="D51" s="86" t="e">
        <f>'QUADRO II'!#REF!</f>
        <v>#REF!</v>
      </c>
      <c r="E51" s="109" t="e">
        <f>'QUADRO II'!#REF!</f>
        <v>#REF!</v>
      </c>
      <c r="F51" s="109" t="e">
        <f>('QUADRO II'!#REF!)+('QUADRO II'!#REF!)</f>
        <v>#REF!</v>
      </c>
      <c r="G51" s="109" t="e">
        <f t="shared" si="1"/>
        <v>#REF!</v>
      </c>
      <c r="H51" s="321" t="e">
        <f>('QUADRO II'!#REF!)</f>
        <v>#REF!</v>
      </c>
      <c r="I51" s="109" t="e">
        <f>('QUADRO II'!#REF!)</f>
        <v>#REF!</v>
      </c>
      <c r="J51" s="23"/>
      <c r="K51" s="202"/>
    </row>
    <row r="52" spans="1:11" ht="12" customHeight="1" x14ac:dyDescent="0.25">
      <c r="A52" s="200"/>
      <c r="B52" s="24" t="e">
        <f>('QUADRO II'!#REF!)</f>
        <v>#REF!</v>
      </c>
      <c r="C52" s="109" t="e">
        <f>CAPA!#REF!</f>
        <v>#REF!</v>
      </c>
      <c r="D52" s="86" t="e">
        <f>'QUADRO II'!#REF!</f>
        <v>#REF!</v>
      </c>
      <c r="E52" s="109" t="e">
        <f>'QUADRO II'!#REF!</f>
        <v>#REF!</v>
      </c>
      <c r="F52" s="109" t="e">
        <f>('QUADRO II'!#REF!)+('QUADRO II'!#REF!)</f>
        <v>#REF!</v>
      </c>
      <c r="G52" s="109" t="e">
        <f t="shared" si="1"/>
        <v>#REF!</v>
      </c>
      <c r="H52" s="321" t="e">
        <f>('QUADRO II'!#REF!)</f>
        <v>#REF!</v>
      </c>
      <c r="I52" s="109" t="e">
        <f>('QUADRO II'!#REF!)</f>
        <v>#REF!</v>
      </c>
      <c r="J52" s="23"/>
      <c r="K52" s="202"/>
    </row>
    <row r="53" spans="1:11" ht="12" customHeight="1" x14ac:dyDescent="0.25">
      <c r="A53" s="200"/>
      <c r="B53" s="24" t="e">
        <f>('QUADRO II'!#REF!)</f>
        <v>#REF!</v>
      </c>
      <c r="C53" s="109" t="e">
        <f>CAPA!#REF!</f>
        <v>#REF!</v>
      </c>
      <c r="D53" s="86" t="e">
        <f>'QUADRO II'!#REF!</f>
        <v>#REF!</v>
      </c>
      <c r="E53" s="109" t="e">
        <f>'QUADRO II'!#REF!</f>
        <v>#REF!</v>
      </c>
      <c r="F53" s="109" t="e">
        <f>('QUADRO II'!#REF!)+('QUADRO II'!#REF!)</f>
        <v>#REF!</v>
      </c>
      <c r="G53" s="109" t="e">
        <f t="shared" si="1"/>
        <v>#REF!</v>
      </c>
      <c r="H53" s="321" t="e">
        <f>('QUADRO II'!#REF!)</f>
        <v>#REF!</v>
      </c>
      <c r="I53" s="109" t="e">
        <f>('QUADRO II'!#REF!)</f>
        <v>#REF!</v>
      </c>
      <c r="J53" s="23"/>
      <c r="K53" s="202"/>
    </row>
    <row r="54" spans="1:11" ht="12" customHeight="1" x14ac:dyDescent="0.25">
      <c r="A54" s="200"/>
      <c r="B54" s="24" t="e">
        <f>('QUADRO II'!#REF!)</f>
        <v>#REF!</v>
      </c>
      <c r="C54" s="109" t="e">
        <f>CAPA!#REF!</f>
        <v>#REF!</v>
      </c>
      <c r="D54" s="86" t="e">
        <f>'QUADRO II'!#REF!</f>
        <v>#REF!</v>
      </c>
      <c r="E54" s="109" t="e">
        <f>'QUADRO II'!#REF!</f>
        <v>#REF!</v>
      </c>
      <c r="F54" s="109" t="e">
        <f>('QUADRO II'!#REF!)+('QUADRO II'!#REF!)</f>
        <v>#REF!</v>
      </c>
      <c r="G54" s="109" t="e">
        <f t="shared" si="1"/>
        <v>#REF!</v>
      </c>
      <c r="H54" s="321" t="e">
        <f>('QUADRO II'!#REF!)</f>
        <v>#REF!</v>
      </c>
      <c r="I54" s="109" t="e">
        <f>('QUADRO II'!#REF!)</f>
        <v>#REF!</v>
      </c>
      <c r="J54" s="23"/>
      <c r="K54" s="202"/>
    </row>
    <row r="55" spans="1:11" ht="12" customHeight="1" x14ac:dyDescent="0.25">
      <c r="A55" s="200"/>
      <c r="B55" s="24" t="e">
        <f>('QUADRO II'!#REF!)</f>
        <v>#REF!</v>
      </c>
      <c r="C55" s="109" t="e">
        <f>CAPA!#REF!</f>
        <v>#REF!</v>
      </c>
      <c r="D55" s="86" t="e">
        <f>'QUADRO II'!#REF!</f>
        <v>#REF!</v>
      </c>
      <c r="E55" s="109" t="e">
        <f>'QUADRO II'!#REF!</f>
        <v>#REF!</v>
      </c>
      <c r="F55" s="109" t="e">
        <f>('QUADRO II'!#REF!)+('QUADRO II'!#REF!)</f>
        <v>#REF!</v>
      </c>
      <c r="G55" s="109" t="e">
        <f t="shared" si="1"/>
        <v>#REF!</v>
      </c>
      <c r="H55" s="321" t="e">
        <f>('QUADRO II'!#REF!)</f>
        <v>#REF!</v>
      </c>
      <c r="I55" s="109" t="e">
        <f>('QUADRO II'!#REF!)</f>
        <v>#REF!</v>
      </c>
      <c r="J55" s="23"/>
      <c r="K55" s="202"/>
    </row>
    <row r="56" spans="1:11" ht="12" customHeight="1" x14ac:dyDescent="0.25">
      <c r="A56" s="200"/>
      <c r="B56" s="24" t="e">
        <f>('QUADRO II'!#REF!)</f>
        <v>#REF!</v>
      </c>
      <c r="C56" s="109" t="e">
        <f>CAPA!#REF!</f>
        <v>#REF!</v>
      </c>
      <c r="D56" s="86" t="e">
        <f>'QUADRO II'!#REF!</f>
        <v>#REF!</v>
      </c>
      <c r="E56" s="109" t="e">
        <f>'QUADRO II'!#REF!</f>
        <v>#REF!</v>
      </c>
      <c r="F56" s="109" t="e">
        <f>('QUADRO II'!#REF!)+('QUADRO II'!#REF!)</f>
        <v>#REF!</v>
      </c>
      <c r="G56" s="109" t="e">
        <f t="shared" si="1"/>
        <v>#REF!</v>
      </c>
      <c r="H56" s="321" t="e">
        <f>('QUADRO II'!#REF!)</f>
        <v>#REF!</v>
      </c>
      <c r="I56" s="109" t="e">
        <f>('QUADRO II'!#REF!)</f>
        <v>#REF!</v>
      </c>
      <c r="J56" s="23"/>
      <c r="K56" s="202"/>
    </row>
    <row r="57" spans="1:11" ht="12" customHeight="1" x14ac:dyDescent="0.25">
      <c r="A57" s="200"/>
      <c r="B57" s="24" t="e">
        <f>('QUADRO II'!#REF!)</f>
        <v>#REF!</v>
      </c>
      <c r="C57" s="109" t="e">
        <f>CAPA!#REF!</f>
        <v>#REF!</v>
      </c>
      <c r="D57" s="86" t="e">
        <f>'QUADRO II'!#REF!</f>
        <v>#REF!</v>
      </c>
      <c r="E57" s="109" t="e">
        <f>'QUADRO II'!#REF!</f>
        <v>#REF!</v>
      </c>
      <c r="F57" s="109" t="e">
        <f>('QUADRO II'!#REF!)+('QUADRO II'!#REF!)</f>
        <v>#REF!</v>
      </c>
      <c r="G57" s="109" t="e">
        <f t="shared" si="1"/>
        <v>#REF!</v>
      </c>
      <c r="H57" s="321" t="e">
        <f>('QUADRO II'!#REF!)</f>
        <v>#REF!</v>
      </c>
      <c r="I57" s="109" t="e">
        <f>('QUADRO II'!#REF!)</f>
        <v>#REF!</v>
      </c>
      <c r="J57" s="23"/>
      <c r="K57" s="202"/>
    </row>
    <row r="58" spans="1:11" ht="12" customHeight="1" x14ac:dyDescent="0.25">
      <c r="A58" s="200"/>
      <c r="B58" s="24" t="e">
        <f>('QUADRO II'!#REF!)</f>
        <v>#REF!</v>
      </c>
      <c r="C58" s="109" t="e">
        <f>CAPA!#REF!</f>
        <v>#REF!</v>
      </c>
      <c r="D58" s="86" t="e">
        <f>'QUADRO II'!#REF!</f>
        <v>#REF!</v>
      </c>
      <c r="E58" s="109" t="e">
        <f>'QUADRO II'!#REF!</f>
        <v>#REF!</v>
      </c>
      <c r="F58" s="109" t="e">
        <f>('QUADRO II'!#REF!)+('QUADRO II'!#REF!)</f>
        <v>#REF!</v>
      </c>
      <c r="G58" s="109" t="e">
        <f t="shared" si="1"/>
        <v>#REF!</v>
      </c>
      <c r="H58" s="321" t="e">
        <f>('QUADRO II'!#REF!)</f>
        <v>#REF!</v>
      </c>
      <c r="I58" s="109" t="e">
        <f>('QUADRO II'!#REF!)</f>
        <v>#REF!</v>
      </c>
      <c r="J58" s="23"/>
      <c r="K58" s="202"/>
    </row>
    <row r="59" spans="1:11" ht="12" customHeight="1" x14ac:dyDescent="0.25">
      <c r="A59" s="200"/>
      <c r="B59" s="24" t="e">
        <f>('QUADRO II'!#REF!)</f>
        <v>#REF!</v>
      </c>
      <c r="C59" s="109" t="e">
        <f>CAPA!#REF!</f>
        <v>#REF!</v>
      </c>
      <c r="D59" s="86" t="e">
        <f>'QUADRO II'!#REF!</f>
        <v>#REF!</v>
      </c>
      <c r="E59" s="109" t="e">
        <f>'QUADRO II'!#REF!</f>
        <v>#REF!</v>
      </c>
      <c r="F59" s="109" t="e">
        <f>('QUADRO II'!#REF!)+('QUADRO II'!#REF!)</f>
        <v>#REF!</v>
      </c>
      <c r="G59" s="109" t="e">
        <f t="shared" si="1"/>
        <v>#REF!</v>
      </c>
      <c r="H59" s="321" t="e">
        <f>('QUADRO II'!#REF!)</f>
        <v>#REF!</v>
      </c>
      <c r="I59" s="109" t="e">
        <f>('QUADRO II'!#REF!)</f>
        <v>#REF!</v>
      </c>
      <c r="J59" s="23"/>
      <c r="K59" s="202"/>
    </row>
    <row r="60" spans="1:11" ht="12" customHeight="1" x14ac:dyDescent="0.25">
      <c r="A60" s="200"/>
      <c r="B60" s="24" t="e">
        <f>('QUADRO II'!#REF!)</f>
        <v>#REF!</v>
      </c>
      <c r="C60" s="109" t="e">
        <f>CAPA!#REF!</f>
        <v>#REF!</v>
      </c>
      <c r="D60" s="86" t="e">
        <f>'QUADRO II'!#REF!</f>
        <v>#REF!</v>
      </c>
      <c r="E60" s="109" t="e">
        <f>'QUADRO II'!#REF!</f>
        <v>#REF!</v>
      </c>
      <c r="F60" s="109" t="e">
        <f>('QUADRO II'!#REF!)+('QUADRO II'!#REF!)</f>
        <v>#REF!</v>
      </c>
      <c r="G60" s="109" t="e">
        <f t="shared" si="1"/>
        <v>#REF!</v>
      </c>
      <c r="H60" s="321" t="e">
        <f>('QUADRO II'!#REF!)</f>
        <v>#REF!</v>
      </c>
      <c r="I60" s="109" t="e">
        <f>('QUADRO II'!#REF!)</f>
        <v>#REF!</v>
      </c>
      <c r="J60" s="23"/>
      <c r="K60" s="202"/>
    </row>
    <row r="61" spans="1:11" ht="12" customHeight="1" x14ac:dyDescent="0.25">
      <c r="A61" s="200"/>
      <c r="B61" s="24" t="e">
        <f>('QUADRO II'!#REF!)</f>
        <v>#REF!</v>
      </c>
      <c r="C61" s="109" t="e">
        <f>CAPA!#REF!</f>
        <v>#REF!</v>
      </c>
      <c r="D61" s="86" t="e">
        <f>'QUADRO II'!#REF!</f>
        <v>#REF!</v>
      </c>
      <c r="E61" s="109" t="e">
        <f>'QUADRO II'!#REF!</f>
        <v>#REF!</v>
      </c>
      <c r="F61" s="109" t="e">
        <f>('QUADRO II'!#REF!)+('QUADRO II'!#REF!)</f>
        <v>#REF!</v>
      </c>
      <c r="G61" s="109" t="e">
        <f t="shared" si="1"/>
        <v>#REF!</v>
      </c>
      <c r="H61" s="321" t="e">
        <f>('QUADRO II'!#REF!)</f>
        <v>#REF!</v>
      </c>
      <c r="I61" s="109" t="e">
        <f>('QUADRO II'!#REF!)</f>
        <v>#REF!</v>
      </c>
      <c r="J61" s="23"/>
      <c r="K61" s="202"/>
    </row>
    <row r="62" spans="1:11" ht="12" customHeight="1" x14ac:dyDescent="0.25">
      <c r="A62" s="200"/>
      <c r="B62" s="24" t="e">
        <f>('QUADRO II'!#REF!)</f>
        <v>#REF!</v>
      </c>
      <c r="C62" s="109" t="e">
        <f>CAPA!#REF!</f>
        <v>#REF!</v>
      </c>
      <c r="D62" s="86" t="e">
        <f>'QUADRO II'!#REF!</f>
        <v>#REF!</v>
      </c>
      <c r="E62" s="109" t="e">
        <f>'QUADRO II'!#REF!</f>
        <v>#REF!</v>
      </c>
      <c r="F62" s="109" t="e">
        <f>('QUADRO II'!#REF!)+('QUADRO II'!#REF!)</f>
        <v>#REF!</v>
      </c>
      <c r="G62" s="109" t="e">
        <f t="shared" si="1"/>
        <v>#REF!</v>
      </c>
      <c r="H62" s="321" t="e">
        <f>('QUADRO II'!#REF!)</f>
        <v>#REF!</v>
      </c>
      <c r="I62" s="109" t="e">
        <f>('QUADRO II'!#REF!)</f>
        <v>#REF!</v>
      </c>
      <c r="J62" s="23"/>
      <c r="K62" s="202"/>
    </row>
    <row r="63" spans="1:11" ht="12" customHeight="1" x14ac:dyDescent="0.25">
      <c r="A63" s="200"/>
      <c r="B63" s="24" t="e">
        <f>('QUADRO II'!#REF!)</f>
        <v>#REF!</v>
      </c>
      <c r="C63" s="109" t="e">
        <f>CAPA!#REF!</f>
        <v>#REF!</v>
      </c>
      <c r="D63" s="86" t="e">
        <f>'QUADRO II'!#REF!</f>
        <v>#REF!</v>
      </c>
      <c r="E63" s="109" t="e">
        <f>'QUADRO II'!#REF!</f>
        <v>#REF!</v>
      </c>
      <c r="F63" s="109" t="e">
        <f>('QUADRO II'!#REF!)+('QUADRO II'!#REF!)</f>
        <v>#REF!</v>
      </c>
      <c r="G63" s="109" t="e">
        <f t="shared" si="1"/>
        <v>#REF!</v>
      </c>
      <c r="H63" s="321" t="e">
        <f>('QUADRO II'!#REF!)</f>
        <v>#REF!</v>
      </c>
      <c r="I63" s="109" t="e">
        <f>('QUADRO II'!#REF!)</f>
        <v>#REF!</v>
      </c>
      <c r="J63" s="23"/>
      <c r="K63" s="202"/>
    </row>
    <row r="64" spans="1:11" ht="12" customHeight="1" x14ac:dyDescent="0.25">
      <c r="A64" s="200"/>
      <c r="B64" s="24" t="e">
        <f>('QUADRO II'!#REF!)</f>
        <v>#REF!</v>
      </c>
      <c r="C64" s="109" t="e">
        <f>CAPA!#REF!</f>
        <v>#REF!</v>
      </c>
      <c r="D64" s="86" t="e">
        <f>'QUADRO II'!#REF!</f>
        <v>#REF!</v>
      </c>
      <c r="E64" s="109" t="e">
        <f>'QUADRO II'!#REF!</f>
        <v>#REF!</v>
      </c>
      <c r="F64" s="109" t="e">
        <f>('QUADRO II'!#REF!)+('QUADRO II'!#REF!)</f>
        <v>#REF!</v>
      </c>
      <c r="G64" s="109" t="e">
        <f t="shared" si="1"/>
        <v>#REF!</v>
      </c>
      <c r="H64" s="321" t="e">
        <f>('QUADRO II'!#REF!)</f>
        <v>#REF!</v>
      </c>
      <c r="I64" s="109" t="e">
        <f>('QUADRO II'!#REF!)</f>
        <v>#REF!</v>
      </c>
      <c r="J64" s="23"/>
      <c r="K64" s="202"/>
    </row>
    <row r="65" spans="1:11" ht="12" customHeight="1" x14ac:dyDescent="0.25">
      <c r="A65" s="200"/>
      <c r="B65" s="24" t="e">
        <f>('QUADRO II'!#REF!)</f>
        <v>#REF!</v>
      </c>
      <c r="C65" s="109" t="e">
        <f>CAPA!#REF!</f>
        <v>#REF!</v>
      </c>
      <c r="D65" s="86" t="e">
        <f>'QUADRO II'!#REF!</f>
        <v>#REF!</v>
      </c>
      <c r="E65" s="109" t="e">
        <f>'QUADRO II'!#REF!</f>
        <v>#REF!</v>
      </c>
      <c r="F65" s="109" t="e">
        <f>('QUADRO II'!#REF!)+('QUADRO II'!#REF!)</f>
        <v>#REF!</v>
      </c>
      <c r="G65" s="109" t="e">
        <f t="shared" si="1"/>
        <v>#REF!</v>
      </c>
      <c r="H65" s="321" t="e">
        <f>('QUADRO II'!#REF!)</f>
        <v>#REF!</v>
      </c>
      <c r="I65" s="109" t="e">
        <f>('QUADRO II'!#REF!)</f>
        <v>#REF!</v>
      </c>
      <c r="J65" s="23"/>
      <c r="K65" s="202"/>
    </row>
    <row r="66" spans="1:11" ht="12" customHeight="1" x14ac:dyDescent="0.25">
      <c r="A66" s="200"/>
      <c r="B66" s="24" t="e">
        <f>('QUADRO II'!#REF!)</f>
        <v>#REF!</v>
      </c>
      <c r="C66" s="109" t="e">
        <f>CAPA!#REF!</f>
        <v>#REF!</v>
      </c>
      <c r="D66" s="86" t="e">
        <f>'QUADRO II'!#REF!</f>
        <v>#REF!</v>
      </c>
      <c r="E66" s="109" t="e">
        <f>'QUADRO II'!#REF!</f>
        <v>#REF!</v>
      </c>
      <c r="F66" s="109" t="e">
        <f>('QUADRO II'!#REF!)+('QUADRO II'!#REF!)</f>
        <v>#REF!</v>
      </c>
      <c r="G66" s="109" t="e">
        <f t="shared" si="1"/>
        <v>#REF!</v>
      </c>
      <c r="H66" s="321" t="e">
        <f>('QUADRO II'!#REF!)</f>
        <v>#REF!</v>
      </c>
      <c r="I66" s="109" t="e">
        <f>('QUADRO II'!#REF!)</f>
        <v>#REF!</v>
      </c>
      <c r="J66" s="23"/>
      <c r="K66" s="202"/>
    </row>
    <row r="67" spans="1:11" ht="12" customHeight="1" x14ac:dyDescent="0.25">
      <c r="A67" s="200"/>
      <c r="B67" s="24" t="e">
        <f>('QUADRO II'!#REF!)</f>
        <v>#REF!</v>
      </c>
      <c r="C67" s="109" t="e">
        <f>CAPA!#REF!</f>
        <v>#REF!</v>
      </c>
      <c r="D67" s="86" t="e">
        <f>'QUADRO II'!#REF!</f>
        <v>#REF!</v>
      </c>
      <c r="E67" s="109" t="e">
        <f>'QUADRO II'!#REF!</f>
        <v>#REF!</v>
      </c>
      <c r="F67" s="109" t="e">
        <f>('QUADRO II'!#REF!)+('QUADRO II'!#REF!)</f>
        <v>#REF!</v>
      </c>
      <c r="G67" s="109" t="e">
        <f t="shared" si="1"/>
        <v>#REF!</v>
      </c>
      <c r="H67" s="321" t="e">
        <f>('QUADRO II'!#REF!)</f>
        <v>#REF!</v>
      </c>
      <c r="I67" s="109" t="e">
        <f>('QUADRO II'!#REF!)</f>
        <v>#REF!</v>
      </c>
      <c r="J67" s="23"/>
      <c r="K67" s="202"/>
    </row>
    <row r="68" spans="1:11" ht="12" customHeight="1" x14ac:dyDescent="0.25">
      <c r="A68" s="200"/>
      <c r="B68" s="24" t="e">
        <f>('QUADRO II'!#REF!)</f>
        <v>#REF!</v>
      </c>
      <c r="C68" s="109" t="e">
        <f>CAPA!#REF!</f>
        <v>#REF!</v>
      </c>
      <c r="D68" s="86" t="e">
        <f>'QUADRO II'!#REF!</f>
        <v>#REF!</v>
      </c>
      <c r="E68" s="109" t="e">
        <f>'QUADRO II'!#REF!</f>
        <v>#REF!</v>
      </c>
      <c r="F68" s="109" t="e">
        <f>('QUADRO II'!#REF!)+('QUADRO II'!#REF!)</f>
        <v>#REF!</v>
      </c>
      <c r="G68" s="109" t="e">
        <f t="shared" si="1"/>
        <v>#REF!</v>
      </c>
      <c r="H68" s="321" t="e">
        <f>('QUADRO II'!#REF!)</f>
        <v>#REF!</v>
      </c>
      <c r="I68" s="109" t="e">
        <f>('QUADRO II'!#REF!)</f>
        <v>#REF!</v>
      </c>
      <c r="J68" s="23"/>
      <c r="K68" s="202"/>
    </row>
    <row r="69" spans="1:11" ht="12" customHeight="1" x14ac:dyDescent="0.25">
      <c r="A69" s="200"/>
      <c r="B69" s="24" t="e">
        <f>('QUADRO II'!#REF!)</f>
        <v>#REF!</v>
      </c>
      <c r="C69" s="109" t="e">
        <f>CAPA!#REF!</f>
        <v>#REF!</v>
      </c>
      <c r="D69" s="86" t="e">
        <f>'QUADRO II'!#REF!</f>
        <v>#REF!</v>
      </c>
      <c r="E69" s="109" t="e">
        <f>'QUADRO II'!#REF!</f>
        <v>#REF!</v>
      </c>
      <c r="F69" s="109" t="e">
        <f>('QUADRO II'!#REF!)+('QUADRO II'!#REF!)</f>
        <v>#REF!</v>
      </c>
      <c r="G69" s="109" t="e">
        <f t="shared" si="1"/>
        <v>#REF!</v>
      </c>
      <c r="H69" s="321" t="e">
        <f>('QUADRO II'!#REF!)</f>
        <v>#REF!</v>
      </c>
      <c r="I69" s="109" t="e">
        <f>('QUADRO II'!#REF!)</f>
        <v>#REF!</v>
      </c>
      <c r="J69" s="23"/>
      <c r="K69" s="202"/>
    </row>
    <row r="70" spans="1:11" ht="12" customHeight="1" x14ac:dyDescent="0.25">
      <c r="A70" s="200"/>
      <c r="B70" s="24" t="e">
        <f>('QUADRO II'!#REF!)</f>
        <v>#REF!</v>
      </c>
      <c r="C70" s="109" t="e">
        <f>CAPA!#REF!</f>
        <v>#REF!</v>
      </c>
      <c r="D70" s="86" t="e">
        <f>'QUADRO II'!#REF!</f>
        <v>#REF!</v>
      </c>
      <c r="E70" s="109" t="e">
        <f>'QUADRO II'!#REF!</f>
        <v>#REF!</v>
      </c>
      <c r="F70" s="109" t="e">
        <f>('QUADRO II'!#REF!)+('QUADRO II'!#REF!)</f>
        <v>#REF!</v>
      </c>
      <c r="G70" s="109" t="e">
        <f t="shared" si="1"/>
        <v>#REF!</v>
      </c>
      <c r="H70" s="321" t="e">
        <f>('QUADRO II'!#REF!)</f>
        <v>#REF!</v>
      </c>
      <c r="I70" s="109" t="e">
        <f>('QUADRO II'!#REF!)</f>
        <v>#REF!</v>
      </c>
      <c r="J70" s="23"/>
      <c r="K70" s="202"/>
    </row>
    <row r="71" spans="1:11" ht="12" customHeight="1" x14ac:dyDescent="0.25">
      <c r="A71" s="200"/>
      <c r="B71" s="24" t="e">
        <f>('QUADRO II'!#REF!)</f>
        <v>#REF!</v>
      </c>
      <c r="C71" s="109" t="e">
        <f>CAPA!#REF!</f>
        <v>#REF!</v>
      </c>
      <c r="D71" s="86" t="e">
        <f>'QUADRO II'!#REF!</f>
        <v>#REF!</v>
      </c>
      <c r="E71" s="109" t="e">
        <f>'QUADRO II'!#REF!</f>
        <v>#REF!</v>
      </c>
      <c r="F71" s="109" t="e">
        <f>('QUADRO II'!#REF!)+('QUADRO II'!#REF!)</f>
        <v>#REF!</v>
      </c>
      <c r="G71" s="109" t="e">
        <f t="shared" si="1"/>
        <v>#REF!</v>
      </c>
      <c r="H71" s="321" t="e">
        <f>('QUADRO II'!#REF!)</f>
        <v>#REF!</v>
      </c>
      <c r="I71" s="109" t="e">
        <f>('QUADRO II'!#REF!)</f>
        <v>#REF!</v>
      </c>
      <c r="J71" s="23"/>
      <c r="K71" s="202"/>
    </row>
    <row r="72" spans="1:11" ht="12" customHeight="1" x14ac:dyDescent="0.25">
      <c r="A72" s="200"/>
      <c r="B72" s="24" t="e">
        <f>('QUADRO II'!#REF!)</f>
        <v>#REF!</v>
      </c>
      <c r="C72" s="109" t="e">
        <f>CAPA!#REF!</f>
        <v>#REF!</v>
      </c>
      <c r="D72" s="86" t="e">
        <f>'QUADRO II'!#REF!</f>
        <v>#REF!</v>
      </c>
      <c r="E72" s="109" t="e">
        <f>'QUADRO II'!#REF!</f>
        <v>#REF!</v>
      </c>
      <c r="F72" s="109" t="e">
        <f>('QUADRO II'!#REF!)+('QUADRO II'!#REF!)</f>
        <v>#REF!</v>
      </c>
      <c r="G72" s="109" t="e">
        <f t="shared" si="1"/>
        <v>#REF!</v>
      </c>
      <c r="H72" s="321" t="e">
        <f>('QUADRO II'!#REF!)</f>
        <v>#REF!</v>
      </c>
      <c r="I72" s="109" t="e">
        <f>('QUADRO II'!#REF!)</f>
        <v>#REF!</v>
      </c>
      <c r="J72" s="23"/>
      <c r="K72" s="202"/>
    </row>
    <row r="73" spans="1:11" ht="12" customHeight="1" x14ac:dyDescent="0.25">
      <c r="A73" s="200"/>
      <c r="B73" s="24" t="e">
        <f>('QUADRO II'!#REF!)</f>
        <v>#REF!</v>
      </c>
      <c r="C73" s="109" t="e">
        <f>CAPA!#REF!</f>
        <v>#REF!</v>
      </c>
      <c r="D73" s="86" t="e">
        <f>'QUADRO II'!#REF!</f>
        <v>#REF!</v>
      </c>
      <c r="E73" s="109" t="e">
        <f>'QUADRO II'!#REF!</f>
        <v>#REF!</v>
      </c>
      <c r="F73" s="109" t="e">
        <f>('QUADRO II'!#REF!)+('QUADRO II'!#REF!)</f>
        <v>#REF!</v>
      </c>
      <c r="G73" s="109" t="e">
        <f t="shared" si="1"/>
        <v>#REF!</v>
      </c>
      <c r="H73" s="321" t="e">
        <f>('QUADRO II'!#REF!)</f>
        <v>#REF!</v>
      </c>
      <c r="I73" s="109" t="e">
        <f>('QUADRO II'!#REF!)</f>
        <v>#REF!</v>
      </c>
      <c r="J73" s="23"/>
      <c r="K73" s="202"/>
    </row>
    <row r="74" spans="1:11" ht="12" customHeight="1" x14ac:dyDescent="0.25">
      <c r="A74" s="200"/>
      <c r="B74" s="24" t="e">
        <f>('QUADRO II'!#REF!)</f>
        <v>#REF!</v>
      </c>
      <c r="C74" s="109" t="e">
        <f>CAPA!#REF!</f>
        <v>#REF!</v>
      </c>
      <c r="D74" s="86" t="e">
        <f>'QUADRO II'!#REF!</f>
        <v>#REF!</v>
      </c>
      <c r="E74" s="109" t="e">
        <f>'QUADRO II'!#REF!</f>
        <v>#REF!</v>
      </c>
      <c r="F74" s="109" t="e">
        <f>('QUADRO II'!#REF!)+('QUADRO II'!#REF!)</f>
        <v>#REF!</v>
      </c>
      <c r="G74" s="109" t="e">
        <f t="shared" si="1"/>
        <v>#REF!</v>
      </c>
      <c r="H74" s="321" t="e">
        <f>('QUADRO II'!#REF!)</f>
        <v>#REF!</v>
      </c>
      <c r="I74" s="109" t="e">
        <f>('QUADRO II'!#REF!)</f>
        <v>#REF!</v>
      </c>
      <c r="J74" s="23"/>
      <c r="K74" s="202"/>
    </row>
    <row r="75" spans="1:11" ht="12" customHeight="1" x14ac:dyDescent="0.25">
      <c r="A75" s="200"/>
      <c r="B75" s="24" t="e">
        <f>('QUADRO II'!#REF!)</f>
        <v>#REF!</v>
      </c>
      <c r="C75" s="109" t="e">
        <f>CAPA!#REF!</f>
        <v>#REF!</v>
      </c>
      <c r="D75" s="86" t="e">
        <f>'QUADRO II'!#REF!</f>
        <v>#REF!</v>
      </c>
      <c r="E75" s="109" t="e">
        <f>'QUADRO II'!#REF!</f>
        <v>#REF!</v>
      </c>
      <c r="F75" s="109" t="e">
        <f>('QUADRO II'!#REF!)+('QUADRO II'!#REF!)</f>
        <v>#REF!</v>
      </c>
      <c r="G75" s="109" t="e">
        <f t="shared" si="1"/>
        <v>#REF!</v>
      </c>
      <c r="H75" s="321" t="e">
        <f>('QUADRO II'!#REF!)</f>
        <v>#REF!</v>
      </c>
      <c r="I75" s="109" t="e">
        <f>('QUADRO II'!#REF!)</f>
        <v>#REF!</v>
      </c>
      <c r="J75" s="23"/>
      <c r="K75" s="202"/>
    </row>
    <row r="76" spans="1:11" ht="12" customHeight="1" x14ac:dyDescent="0.25">
      <c r="A76" s="200"/>
      <c r="B76" s="24"/>
      <c r="C76" s="109"/>
      <c r="D76" s="86"/>
      <c r="E76" s="109"/>
      <c r="F76" s="109"/>
      <c r="G76" s="109"/>
      <c r="H76" s="318"/>
      <c r="I76" s="109"/>
      <c r="J76" s="23"/>
      <c r="K76" s="202"/>
    </row>
    <row r="77" spans="1:11" ht="13.2" customHeight="1" x14ac:dyDescent="0.25">
      <c r="A77" s="200"/>
      <c r="B77" s="136" t="s">
        <v>145</v>
      </c>
      <c r="C77" s="87" t="e">
        <f t="shared" ref="C77:H77" si="2">SUMPRODUCT(C14:C76,$I14:$I76)</f>
        <v>#REF!</v>
      </c>
      <c r="D77" s="87" t="e">
        <f t="shared" si="2"/>
        <v>#REF!</v>
      </c>
      <c r="E77" s="87" t="e">
        <f t="shared" si="2"/>
        <v>#VALUE!</v>
      </c>
      <c r="F77" s="87" t="e">
        <f t="shared" si="2"/>
        <v>#DIV/0!</v>
      </c>
      <c r="G77" s="87" t="e">
        <f t="shared" si="2"/>
        <v>#VALUE!</v>
      </c>
      <c r="H77" s="319" t="e">
        <f t="shared" si="2"/>
        <v>#DIV/0!</v>
      </c>
      <c r="I77" s="87" t="e">
        <f>SUM(I14:I76)</f>
        <v>#REF!</v>
      </c>
      <c r="J77" s="77"/>
      <c r="K77" s="202"/>
    </row>
    <row r="78" spans="1:11" ht="12" customHeight="1" x14ac:dyDescent="0.25">
      <c r="A78" s="200"/>
      <c r="B78" s="27" t="s">
        <v>309</v>
      </c>
      <c r="C78" s="27" t="s">
        <v>310</v>
      </c>
      <c r="D78" s="27"/>
      <c r="E78" s="27"/>
      <c r="F78" s="27"/>
      <c r="G78" s="27"/>
      <c r="H78" s="27"/>
      <c r="I78" s="27"/>
      <c r="J78" s="27"/>
      <c r="K78" s="202"/>
    </row>
    <row r="79" spans="1:11" ht="12" customHeight="1" x14ac:dyDescent="0.25">
      <c r="A79" s="200"/>
      <c r="B79" s="1" t="s">
        <v>311</v>
      </c>
      <c r="C79" s="1" t="s">
        <v>312</v>
      </c>
      <c r="K79" s="202"/>
    </row>
    <row r="80" spans="1:11" ht="12" customHeight="1" x14ac:dyDescent="0.25">
      <c r="A80" s="200"/>
      <c r="C80" s="44" t="s">
        <v>313</v>
      </c>
      <c r="K80" s="202"/>
    </row>
    <row r="81" spans="1:11" ht="12" customHeight="1" x14ac:dyDescent="0.25">
      <c r="A81" s="200"/>
      <c r="C81" s="44" t="s">
        <v>314</v>
      </c>
      <c r="K81" s="202"/>
    </row>
    <row r="82" spans="1:11" ht="12" customHeight="1" x14ac:dyDescent="0.25">
      <c r="A82" s="200"/>
      <c r="C82" s="44" t="s">
        <v>315</v>
      </c>
      <c r="K82" s="202"/>
    </row>
    <row r="83" spans="1:11" ht="12" customHeight="1" x14ac:dyDescent="0.25">
      <c r="A83" s="200"/>
      <c r="C83" s="44" t="s">
        <v>316</v>
      </c>
      <c r="K83" s="202"/>
    </row>
    <row r="84" spans="1:11" ht="12" customHeight="1" x14ac:dyDescent="0.25">
      <c r="A84" s="200"/>
      <c r="C84" s="44" t="s">
        <v>317</v>
      </c>
      <c r="K84" s="202"/>
    </row>
    <row r="85" spans="1:11" ht="12" customHeight="1" x14ac:dyDescent="0.25">
      <c r="A85" s="200"/>
      <c r="C85" s="44" t="s">
        <v>318</v>
      </c>
      <c r="K85" s="202"/>
    </row>
    <row r="86" spans="1:11" ht="12" customHeight="1" thickBot="1" x14ac:dyDescent="0.3">
      <c r="A86" s="203"/>
      <c r="B86" s="256"/>
      <c r="C86" s="258" t="s">
        <v>319</v>
      </c>
      <c r="D86" s="256"/>
      <c r="E86" s="256"/>
      <c r="F86" s="256"/>
      <c r="G86" s="256"/>
      <c r="H86" s="256"/>
      <c r="I86" s="256"/>
      <c r="J86" s="256"/>
      <c r="K86" s="204"/>
    </row>
    <row r="87" spans="1:11" ht="10.8" customHeight="1" thickTop="1" x14ac:dyDescent="0.25"/>
  </sheetData>
  <mergeCells count="12">
    <mergeCell ref="B1:J1"/>
    <mergeCell ref="I5:J5"/>
    <mergeCell ref="B5:B6"/>
    <mergeCell ref="J11:J12"/>
    <mergeCell ref="B2:J2"/>
    <mergeCell ref="B3:J3"/>
    <mergeCell ref="B7:F7"/>
    <mergeCell ref="B4:H4"/>
    <mergeCell ref="I11:I13"/>
    <mergeCell ref="C5:H6"/>
    <mergeCell ref="C11:G11"/>
    <mergeCell ref="G7:J7"/>
  </mergeCells>
  <printOptions horizontalCentered="1" verticalCentered="1"/>
  <pageMargins left="0.59055118110236227" right="0.59055118110236227" top="0.59055118110236227" bottom="0.59055118110236227" header="0" footer="0"/>
  <pageSetup paperSize="9" scale="5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81"/>
  <sheetViews>
    <sheetView showZeros="0" topLeftCell="A3" workbookViewId="0">
      <selection activeCell="E15" sqref="E15"/>
    </sheetView>
  </sheetViews>
  <sheetFormatPr defaultColWidth="1.6640625" defaultRowHeight="10.199999999999999" x14ac:dyDescent="0.25"/>
  <cols>
    <col min="1" max="1" width="1.6640625" style="1" customWidth="1"/>
    <col min="2" max="6" width="12.33203125" style="1" customWidth="1"/>
    <col min="7" max="7" width="10.33203125" style="1" customWidth="1"/>
    <col min="8" max="13" width="12.33203125" style="1" customWidth="1"/>
    <col min="14" max="15" width="1.6640625" style="1" customWidth="1"/>
    <col min="16" max="16384" width="1.6640625" style="1"/>
  </cols>
  <sheetData>
    <row r="1" spans="1:14" ht="10.199999999999999" customHeight="1" thickTop="1" x14ac:dyDescent="0.25">
      <c r="A1" s="198"/>
      <c r="B1" s="355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199"/>
    </row>
    <row r="2" spans="1:14" ht="13.95" customHeight="1" x14ac:dyDescent="0.25">
      <c r="A2" s="200"/>
      <c r="B2" s="354" t="s">
        <v>0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8"/>
      <c r="N2" s="202"/>
    </row>
    <row r="3" spans="1:14" ht="13.95" customHeight="1" x14ac:dyDescent="0.25">
      <c r="A3" s="200"/>
      <c r="B3" s="346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1"/>
      <c r="N3" s="202"/>
    </row>
    <row r="4" spans="1:14" ht="13.95" customHeight="1" x14ac:dyDescent="0.25">
      <c r="A4" s="200"/>
      <c r="B4" s="475" t="s">
        <v>320</v>
      </c>
      <c r="C4" s="344"/>
      <c r="D4" s="344"/>
      <c r="E4" s="344"/>
      <c r="F4" s="344"/>
      <c r="G4" s="344"/>
      <c r="H4" s="344"/>
      <c r="I4" s="344"/>
      <c r="J4" s="334"/>
      <c r="K4" s="144" t="s">
        <v>3</v>
      </c>
      <c r="L4" s="146">
        <v>6</v>
      </c>
      <c r="M4" s="145"/>
      <c r="N4" s="202"/>
    </row>
    <row r="5" spans="1:14" ht="13.95" customHeight="1" x14ac:dyDescent="0.25">
      <c r="A5" s="200"/>
      <c r="B5" s="469" t="s">
        <v>132</v>
      </c>
      <c r="C5" s="337"/>
      <c r="D5" s="427" t="str">
        <f>('QUADRO I'!$D$5)</f>
        <v>{RUA}, {COMPLEMENTO}; {SETOR} - {CIDADE}</v>
      </c>
      <c r="E5" s="337"/>
      <c r="F5" s="337"/>
      <c r="G5" s="337"/>
      <c r="H5" s="337"/>
      <c r="I5" s="337"/>
      <c r="J5" s="338"/>
      <c r="K5" s="439" t="s">
        <v>259</v>
      </c>
      <c r="L5" s="337"/>
      <c r="M5" s="338"/>
      <c r="N5" s="202"/>
    </row>
    <row r="6" spans="1:14" ht="13.95" customHeight="1" x14ac:dyDescent="0.25">
      <c r="A6" s="200"/>
      <c r="B6" s="339"/>
      <c r="C6" s="340"/>
      <c r="D6" s="340"/>
      <c r="E6" s="340"/>
      <c r="F6" s="340"/>
      <c r="G6" s="340"/>
      <c r="H6" s="340"/>
      <c r="I6" s="340"/>
      <c r="J6" s="341"/>
      <c r="K6" s="75" t="s">
        <v>6</v>
      </c>
      <c r="L6" s="137">
        <f>('QUADRO I'!$R$6)</f>
        <v>10</v>
      </c>
      <c r="M6" s="113"/>
      <c r="N6" s="202"/>
    </row>
    <row r="7" spans="1:14" ht="13.95" customHeight="1" x14ac:dyDescent="0.25">
      <c r="A7" s="200"/>
      <c r="B7" s="475" t="s">
        <v>7</v>
      </c>
      <c r="C7" s="344"/>
      <c r="D7" s="344"/>
      <c r="E7" s="344"/>
      <c r="F7" s="344"/>
      <c r="G7" s="334"/>
      <c r="H7" s="475" t="s">
        <v>8</v>
      </c>
      <c r="I7" s="344"/>
      <c r="J7" s="344"/>
      <c r="K7" s="344"/>
      <c r="L7" s="344"/>
      <c r="M7" s="334"/>
      <c r="N7" s="202"/>
    </row>
    <row r="8" spans="1:14" ht="13.95" customHeight="1" x14ac:dyDescent="0.25">
      <c r="A8" s="200"/>
      <c r="B8" s="79" t="s">
        <v>9</v>
      </c>
      <c r="C8" s="313" t="str">
        <f>('QUADRO I'!$C$8)</f>
        <v>{IMCORPORADOR}</v>
      </c>
      <c r="D8" s="27"/>
      <c r="E8" s="27"/>
      <c r="F8" s="27"/>
      <c r="G8" s="94"/>
      <c r="H8" s="79" t="s">
        <v>9</v>
      </c>
      <c r="I8" s="313" t="str">
        <f>('QUADRO I'!$N$8)</f>
        <v>{RESPONSÁVEL TÉCNICO}</v>
      </c>
      <c r="J8" s="19"/>
      <c r="K8" s="29"/>
      <c r="L8" s="29"/>
      <c r="M8" s="28"/>
      <c r="N8" s="202"/>
    </row>
    <row r="9" spans="1:14" ht="13.95" customHeight="1" x14ac:dyDescent="0.25">
      <c r="A9" s="200"/>
      <c r="B9" s="9" t="s">
        <v>10</v>
      </c>
      <c r="G9" s="13"/>
      <c r="H9" s="9" t="s">
        <v>10</v>
      </c>
      <c r="J9" s="10"/>
      <c r="M9" s="4"/>
      <c r="N9" s="202"/>
    </row>
    <row r="10" spans="1:14" ht="13.95" customHeight="1" x14ac:dyDescent="0.25">
      <c r="A10" s="200"/>
      <c r="B10" s="5" t="s">
        <v>11</v>
      </c>
      <c r="C10" s="165" t="str">
        <f>('QUADRO I'!$C$10)</f>
        <v>{DATA HOJE}</v>
      </c>
      <c r="D10" s="2"/>
      <c r="E10" s="2"/>
      <c r="F10" s="2"/>
      <c r="G10" s="65"/>
      <c r="H10" s="5" t="s">
        <v>11</v>
      </c>
      <c r="I10" s="165" t="str">
        <f>('QUADRO I'!$N$10)</f>
        <v>{DATA HOJE}</v>
      </c>
      <c r="J10" s="345" t="str">
        <f>('QUADRO I'!$Q$10)</f>
        <v>Registro no CREA:</v>
      </c>
      <c r="K10" s="340"/>
      <c r="L10" s="114" t="str">
        <f>('QUADRO I'!$S$10)</f>
        <v>{CREA}</v>
      </c>
      <c r="N10" s="202"/>
    </row>
    <row r="11" spans="1:14" s="10" customFormat="1" ht="13.95" customHeight="1" x14ac:dyDescent="0.25">
      <c r="A11" s="249"/>
      <c r="B11" s="167"/>
      <c r="C11" s="343" t="s">
        <v>295</v>
      </c>
      <c r="D11" s="344"/>
      <c r="E11" s="344"/>
      <c r="F11" s="344"/>
      <c r="G11" s="334"/>
      <c r="H11" s="343" t="s">
        <v>321</v>
      </c>
      <c r="I11" s="344"/>
      <c r="J11" s="334"/>
      <c r="K11" s="167"/>
      <c r="L11" s="476" t="s">
        <v>164</v>
      </c>
      <c r="M11" s="477" t="s">
        <v>159</v>
      </c>
      <c r="N11" s="201"/>
    </row>
    <row r="12" spans="1:14" s="10" customFormat="1" ht="90" customHeight="1" x14ac:dyDescent="0.25">
      <c r="A12" s="249"/>
      <c r="B12" s="452" t="s">
        <v>296</v>
      </c>
      <c r="C12" s="452" t="s">
        <v>297</v>
      </c>
      <c r="D12" s="452" t="s">
        <v>298</v>
      </c>
      <c r="E12" s="452" t="s">
        <v>299</v>
      </c>
      <c r="F12" s="452" t="s">
        <v>300</v>
      </c>
      <c r="G12" s="452" t="s">
        <v>322</v>
      </c>
      <c r="H12" s="452" t="s">
        <v>323</v>
      </c>
      <c r="I12" s="452" t="s">
        <v>324</v>
      </c>
      <c r="J12" s="452" t="s">
        <v>325</v>
      </c>
      <c r="K12" s="452" t="s">
        <v>326</v>
      </c>
      <c r="L12" s="425"/>
      <c r="M12" s="425"/>
      <c r="N12" s="201"/>
    </row>
    <row r="13" spans="1:14" s="10" customFormat="1" ht="13.95" customHeight="1" x14ac:dyDescent="0.25">
      <c r="A13" s="249"/>
      <c r="B13" s="426"/>
      <c r="C13" s="426"/>
      <c r="D13" s="426"/>
      <c r="E13" s="426"/>
      <c r="F13" s="426"/>
      <c r="G13" s="426"/>
      <c r="H13" s="426"/>
      <c r="I13" s="426"/>
      <c r="J13" s="426"/>
      <c r="K13" s="426"/>
      <c r="L13" s="425"/>
      <c r="M13" s="425"/>
      <c r="N13" s="201"/>
    </row>
    <row r="14" spans="1:14" s="10" customFormat="1" ht="13.95" customHeight="1" x14ac:dyDescent="0.25">
      <c r="A14" s="249"/>
      <c r="B14" s="20" t="s">
        <v>303</v>
      </c>
      <c r="C14" s="15" t="s">
        <v>202</v>
      </c>
      <c r="D14" s="15" t="s">
        <v>304</v>
      </c>
      <c r="E14" s="15" t="s">
        <v>305</v>
      </c>
      <c r="F14" s="15" t="s">
        <v>306</v>
      </c>
      <c r="G14" s="15" t="s">
        <v>307</v>
      </c>
      <c r="H14" s="15" t="s">
        <v>308</v>
      </c>
      <c r="I14" s="15" t="s">
        <v>327</v>
      </c>
      <c r="J14" s="15" t="s">
        <v>328</v>
      </c>
      <c r="K14" s="15" t="s">
        <v>329</v>
      </c>
      <c r="L14" s="426"/>
      <c r="M14" s="167"/>
      <c r="N14" s="201"/>
    </row>
    <row r="15" spans="1:14" ht="13.2" customHeight="1" x14ac:dyDescent="0.25">
      <c r="A15" s="200"/>
      <c r="B15" s="24" t="str">
        <f>('QUADRO II'!B17)</f>
        <v>CASA 01</v>
      </c>
      <c r="C15" s="109" t="str">
        <f>CAPA!D9</f>
        <v>({ÁREA CONSTRUÍDA PRIVATIVA}+{ÁREA CONSTRUÍDA COMUM})</v>
      </c>
      <c r="D15" s="86" t="str">
        <f>'QUADRO IV B'!D14</f>
        <v>({ÁREA DESCOBERTA PRIVATIVA}+{ÁREA DESCOBERTA COMUM})</v>
      </c>
      <c r="E15" s="109" t="e">
        <f t="shared" ref="E15:E46" si="0">SUM(C15+D15)</f>
        <v>#VALUE!</v>
      </c>
      <c r="F15" s="109" t="e">
        <f>('QUADRO II'!K17)+('QUADRO II'!R17)</f>
        <v>#DIV/0!</v>
      </c>
      <c r="G15" s="109" t="e">
        <f t="shared" ref="G15:G46" si="1">SUM(E15+F15)</f>
        <v>#VALUE!</v>
      </c>
      <c r="H15" s="109" t="e">
        <f t="shared" ref="H15:H46" si="2">G15</f>
        <v>#VALUE!</v>
      </c>
      <c r="I15" s="109"/>
      <c r="J15" s="109" t="e">
        <f t="shared" ref="J15:J46" si="3">SUM(H15+I15)</f>
        <v>#VALUE!</v>
      </c>
      <c r="K15" s="321" t="e">
        <f>('QUADRO II'!N17)</f>
        <v>#DIV/0!</v>
      </c>
      <c r="L15" s="24">
        <f>('QUADRO II'!V17)</f>
        <v>1</v>
      </c>
      <c r="M15" s="149"/>
      <c r="N15" s="202"/>
    </row>
    <row r="16" spans="1:14" ht="13.2" customHeight="1" x14ac:dyDescent="0.25">
      <c r="A16" s="200"/>
      <c r="B16" s="24" t="e">
        <f>('QUADRO II'!#REF!)</f>
        <v>#REF!</v>
      </c>
      <c r="C16" s="109" t="e">
        <f>CAPA!#REF!</f>
        <v>#REF!</v>
      </c>
      <c r="D16" s="86" t="e">
        <f>'QUADRO IV B'!D15</f>
        <v>#REF!</v>
      </c>
      <c r="E16" s="109" t="e">
        <f t="shared" si="0"/>
        <v>#REF!</v>
      </c>
      <c r="F16" s="109" t="e">
        <f>('QUADRO II'!#REF!)+('QUADRO II'!#REF!)</f>
        <v>#REF!</v>
      </c>
      <c r="G16" s="109" t="e">
        <f t="shared" si="1"/>
        <v>#REF!</v>
      </c>
      <c r="H16" s="109" t="e">
        <f t="shared" si="2"/>
        <v>#REF!</v>
      </c>
      <c r="I16" s="109"/>
      <c r="J16" s="109" t="e">
        <f t="shared" si="3"/>
        <v>#REF!</v>
      </c>
      <c r="K16" s="321" t="e">
        <f>('QUADRO II'!#REF!)</f>
        <v>#REF!</v>
      </c>
      <c r="L16" s="24" t="e">
        <f>('QUADRO II'!#REF!)</f>
        <v>#REF!</v>
      </c>
      <c r="M16" s="23"/>
      <c r="N16" s="202"/>
    </row>
    <row r="17" spans="1:14" ht="13.2" customHeight="1" x14ac:dyDescent="0.25">
      <c r="A17" s="200"/>
      <c r="B17" s="24" t="e">
        <f>('QUADRO II'!#REF!)</f>
        <v>#REF!</v>
      </c>
      <c r="C17" s="109" t="e">
        <f>CAPA!#REF!</f>
        <v>#REF!</v>
      </c>
      <c r="D17" s="86" t="e">
        <f>'QUADRO IV B'!D16</f>
        <v>#REF!</v>
      </c>
      <c r="E17" s="109" t="e">
        <f t="shared" si="0"/>
        <v>#REF!</v>
      </c>
      <c r="F17" s="109" t="e">
        <f>('QUADRO II'!#REF!)+('QUADRO II'!#REF!)</f>
        <v>#REF!</v>
      </c>
      <c r="G17" s="109" t="e">
        <f t="shared" si="1"/>
        <v>#REF!</v>
      </c>
      <c r="H17" s="109" t="e">
        <f t="shared" si="2"/>
        <v>#REF!</v>
      </c>
      <c r="I17" s="109"/>
      <c r="J17" s="109" t="e">
        <f t="shared" si="3"/>
        <v>#REF!</v>
      </c>
      <c r="K17" s="321" t="e">
        <f>('QUADRO II'!#REF!)</f>
        <v>#REF!</v>
      </c>
      <c r="L17" s="24" t="e">
        <f>('QUADRO II'!#REF!)</f>
        <v>#REF!</v>
      </c>
      <c r="M17" s="23"/>
      <c r="N17" s="202"/>
    </row>
    <row r="18" spans="1:14" ht="13.2" customHeight="1" x14ac:dyDescent="0.25">
      <c r="A18" s="200"/>
      <c r="B18" s="24" t="e">
        <f>('QUADRO II'!#REF!)</f>
        <v>#REF!</v>
      </c>
      <c r="C18" s="109" t="e">
        <f>CAPA!#REF!</f>
        <v>#REF!</v>
      </c>
      <c r="D18" s="86" t="e">
        <f>'QUADRO IV B'!D17</f>
        <v>#REF!</v>
      </c>
      <c r="E18" s="109" t="e">
        <f t="shared" si="0"/>
        <v>#REF!</v>
      </c>
      <c r="F18" s="109" t="e">
        <f>('QUADRO II'!#REF!)+('QUADRO II'!#REF!)</f>
        <v>#REF!</v>
      </c>
      <c r="G18" s="109" t="e">
        <f t="shared" si="1"/>
        <v>#REF!</v>
      </c>
      <c r="H18" s="109" t="e">
        <f t="shared" si="2"/>
        <v>#REF!</v>
      </c>
      <c r="I18" s="109"/>
      <c r="J18" s="109" t="e">
        <f t="shared" si="3"/>
        <v>#REF!</v>
      </c>
      <c r="K18" s="321" t="e">
        <f>('QUADRO II'!#REF!)</f>
        <v>#REF!</v>
      </c>
      <c r="L18" s="24" t="e">
        <f>('QUADRO II'!#REF!)</f>
        <v>#REF!</v>
      </c>
      <c r="M18" s="23"/>
      <c r="N18" s="202"/>
    </row>
    <row r="19" spans="1:14" ht="13.2" customHeight="1" x14ac:dyDescent="0.25">
      <c r="A19" s="200"/>
      <c r="B19" s="24" t="e">
        <f>('QUADRO II'!#REF!)</f>
        <v>#REF!</v>
      </c>
      <c r="C19" s="109" t="e">
        <f>CAPA!#REF!</f>
        <v>#REF!</v>
      </c>
      <c r="D19" s="86" t="e">
        <f>'QUADRO IV B'!D18</f>
        <v>#REF!</v>
      </c>
      <c r="E19" s="109" t="e">
        <f t="shared" si="0"/>
        <v>#REF!</v>
      </c>
      <c r="F19" s="109" t="e">
        <f>('QUADRO II'!#REF!)+('QUADRO II'!#REF!)</f>
        <v>#REF!</v>
      </c>
      <c r="G19" s="109" t="e">
        <f t="shared" si="1"/>
        <v>#REF!</v>
      </c>
      <c r="H19" s="109" t="e">
        <f t="shared" si="2"/>
        <v>#REF!</v>
      </c>
      <c r="I19" s="109"/>
      <c r="J19" s="109" t="e">
        <f t="shared" si="3"/>
        <v>#REF!</v>
      </c>
      <c r="K19" s="321" t="e">
        <f>('QUADRO II'!#REF!)</f>
        <v>#REF!</v>
      </c>
      <c r="L19" s="24" t="e">
        <f>('QUADRO II'!#REF!)</f>
        <v>#REF!</v>
      </c>
      <c r="M19" s="23"/>
      <c r="N19" s="202"/>
    </row>
    <row r="20" spans="1:14" ht="13.2" customHeight="1" x14ac:dyDescent="0.25">
      <c r="A20" s="200"/>
      <c r="B20" s="24" t="e">
        <f>('QUADRO II'!#REF!)</f>
        <v>#REF!</v>
      </c>
      <c r="C20" s="109" t="e">
        <f>CAPA!#REF!</f>
        <v>#REF!</v>
      </c>
      <c r="D20" s="86" t="e">
        <f>'QUADRO IV B'!D19</f>
        <v>#REF!</v>
      </c>
      <c r="E20" s="109" t="e">
        <f t="shared" si="0"/>
        <v>#REF!</v>
      </c>
      <c r="F20" s="109" t="e">
        <f>('QUADRO II'!#REF!)+('QUADRO II'!#REF!)</f>
        <v>#REF!</v>
      </c>
      <c r="G20" s="109" t="e">
        <f t="shared" si="1"/>
        <v>#REF!</v>
      </c>
      <c r="H20" s="109" t="e">
        <f t="shared" si="2"/>
        <v>#REF!</v>
      </c>
      <c r="I20" s="109"/>
      <c r="J20" s="109" t="e">
        <f t="shared" si="3"/>
        <v>#REF!</v>
      </c>
      <c r="K20" s="321" t="e">
        <f>('QUADRO II'!#REF!)</f>
        <v>#REF!</v>
      </c>
      <c r="L20" s="24" t="e">
        <f>('QUADRO II'!#REF!)</f>
        <v>#REF!</v>
      </c>
      <c r="M20" s="23"/>
      <c r="N20" s="202"/>
    </row>
    <row r="21" spans="1:14" ht="13.2" customHeight="1" x14ac:dyDescent="0.25">
      <c r="A21" s="200"/>
      <c r="B21" s="24" t="e">
        <f>('QUADRO II'!#REF!)</f>
        <v>#REF!</v>
      </c>
      <c r="C21" s="109" t="e">
        <f>CAPA!#REF!</f>
        <v>#REF!</v>
      </c>
      <c r="D21" s="86" t="e">
        <f>'QUADRO IV B'!D20</f>
        <v>#REF!</v>
      </c>
      <c r="E21" s="109" t="e">
        <f t="shared" si="0"/>
        <v>#REF!</v>
      </c>
      <c r="F21" s="109" t="e">
        <f>('QUADRO II'!#REF!)+('QUADRO II'!#REF!)</f>
        <v>#REF!</v>
      </c>
      <c r="G21" s="109" t="e">
        <f t="shared" si="1"/>
        <v>#REF!</v>
      </c>
      <c r="H21" s="109" t="e">
        <f t="shared" si="2"/>
        <v>#REF!</v>
      </c>
      <c r="I21" s="109"/>
      <c r="J21" s="109" t="e">
        <f t="shared" si="3"/>
        <v>#REF!</v>
      </c>
      <c r="K21" s="321" t="e">
        <f>('QUADRO II'!#REF!)</f>
        <v>#REF!</v>
      </c>
      <c r="L21" s="24" t="e">
        <f>('QUADRO II'!#REF!)</f>
        <v>#REF!</v>
      </c>
      <c r="M21" s="23"/>
      <c r="N21" s="202"/>
    </row>
    <row r="22" spans="1:14" ht="13.2" customHeight="1" x14ac:dyDescent="0.25">
      <c r="A22" s="200"/>
      <c r="B22" s="24" t="e">
        <f>('QUADRO II'!#REF!)</f>
        <v>#REF!</v>
      </c>
      <c r="C22" s="109" t="e">
        <f>CAPA!#REF!</f>
        <v>#REF!</v>
      </c>
      <c r="D22" s="86" t="e">
        <f>'QUADRO IV B'!D21</f>
        <v>#REF!</v>
      </c>
      <c r="E22" s="109" t="e">
        <f t="shared" si="0"/>
        <v>#REF!</v>
      </c>
      <c r="F22" s="109" t="e">
        <f>('QUADRO II'!#REF!)+('QUADRO II'!#REF!)</f>
        <v>#REF!</v>
      </c>
      <c r="G22" s="109" t="e">
        <f t="shared" si="1"/>
        <v>#REF!</v>
      </c>
      <c r="H22" s="109" t="e">
        <f t="shared" si="2"/>
        <v>#REF!</v>
      </c>
      <c r="I22" s="109"/>
      <c r="J22" s="109" t="e">
        <f t="shared" si="3"/>
        <v>#REF!</v>
      </c>
      <c r="K22" s="321" t="e">
        <f>('QUADRO II'!#REF!)</f>
        <v>#REF!</v>
      </c>
      <c r="L22" s="24" t="e">
        <f>('QUADRO II'!#REF!)</f>
        <v>#REF!</v>
      </c>
      <c r="M22" s="23"/>
      <c r="N22" s="202"/>
    </row>
    <row r="23" spans="1:14" ht="13.2" customHeight="1" x14ac:dyDescent="0.25">
      <c r="A23" s="200"/>
      <c r="B23" s="24" t="e">
        <f>('QUADRO II'!#REF!)</f>
        <v>#REF!</v>
      </c>
      <c r="C23" s="109" t="e">
        <f>CAPA!#REF!</f>
        <v>#REF!</v>
      </c>
      <c r="D23" s="86" t="e">
        <f>'QUADRO IV B'!D22</f>
        <v>#REF!</v>
      </c>
      <c r="E23" s="109" t="e">
        <f t="shared" si="0"/>
        <v>#REF!</v>
      </c>
      <c r="F23" s="109" t="e">
        <f>('QUADRO II'!#REF!)+('QUADRO II'!#REF!)</f>
        <v>#REF!</v>
      </c>
      <c r="G23" s="109" t="e">
        <f t="shared" si="1"/>
        <v>#REF!</v>
      </c>
      <c r="H23" s="109" t="e">
        <f t="shared" si="2"/>
        <v>#REF!</v>
      </c>
      <c r="I23" s="109"/>
      <c r="J23" s="109" t="e">
        <f t="shared" si="3"/>
        <v>#REF!</v>
      </c>
      <c r="K23" s="321" t="e">
        <f>('QUADRO II'!#REF!)</f>
        <v>#REF!</v>
      </c>
      <c r="L23" s="24" t="e">
        <f>('QUADRO II'!#REF!)</f>
        <v>#REF!</v>
      </c>
      <c r="M23" s="23"/>
      <c r="N23" s="202"/>
    </row>
    <row r="24" spans="1:14" ht="13.2" customHeight="1" x14ac:dyDescent="0.25">
      <c r="A24" s="200"/>
      <c r="B24" s="24" t="e">
        <f>('QUADRO II'!#REF!)</f>
        <v>#REF!</v>
      </c>
      <c r="C24" s="109" t="e">
        <f>CAPA!#REF!</f>
        <v>#REF!</v>
      </c>
      <c r="D24" s="86" t="e">
        <f>'QUADRO IV B'!D23</f>
        <v>#REF!</v>
      </c>
      <c r="E24" s="109" t="e">
        <f t="shared" si="0"/>
        <v>#REF!</v>
      </c>
      <c r="F24" s="109" t="e">
        <f>('QUADRO II'!#REF!)+('QUADRO II'!#REF!)</f>
        <v>#REF!</v>
      </c>
      <c r="G24" s="109" t="e">
        <f t="shared" si="1"/>
        <v>#REF!</v>
      </c>
      <c r="H24" s="109" t="e">
        <f t="shared" si="2"/>
        <v>#REF!</v>
      </c>
      <c r="I24" s="109"/>
      <c r="J24" s="109" t="e">
        <f t="shared" si="3"/>
        <v>#REF!</v>
      </c>
      <c r="K24" s="321" t="e">
        <f>('QUADRO II'!#REF!)</f>
        <v>#REF!</v>
      </c>
      <c r="L24" s="24" t="e">
        <f>('QUADRO II'!#REF!)</f>
        <v>#REF!</v>
      </c>
      <c r="M24" s="23"/>
      <c r="N24" s="202"/>
    </row>
    <row r="25" spans="1:14" ht="13.2" customHeight="1" x14ac:dyDescent="0.25">
      <c r="A25" s="200"/>
      <c r="B25" s="24" t="e">
        <f>('QUADRO II'!#REF!)</f>
        <v>#REF!</v>
      </c>
      <c r="C25" s="109" t="e">
        <f>CAPA!#REF!</f>
        <v>#REF!</v>
      </c>
      <c r="D25" s="86" t="e">
        <f>'QUADRO IV B'!D24</f>
        <v>#REF!</v>
      </c>
      <c r="E25" s="109" t="e">
        <f t="shared" si="0"/>
        <v>#REF!</v>
      </c>
      <c r="F25" s="109" t="e">
        <f>('QUADRO II'!#REF!)+('QUADRO II'!#REF!)</f>
        <v>#REF!</v>
      </c>
      <c r="G25" s="109" t="e">
        <f t="shared" si="1"/>
        <v>#REF!</v>
      </c>
      <c r="H25" s="109" t="e">
        <f t="shared" si="2"/>
        <v>#REF!</v>
      </c>
      <c r="I25" s="109"/>
      <c r="J25" s="109" t="e">
        <f t="shared" si="3"/>
        <v>#REF!</v>
      </c>
      <c r="K25" s="321" t="e">
        <f>('QUADRO II'!#REF!)</f>
        <v>#REF!</v>
      </c>
      <c r="L25" s="24" t="e">
        <f>('QUADRO II'!#REF!)</f>
        <v>#REF!</v>
      </c>
      <c r="M25" s="23"/>
      <c r="N25" s="202"/>
    </row>
    <row r="26" spans="1:14" ht="13.2" customHeight="1" x14ac:dyDescent="0.25">
      <c r="A26" s="200"/>
      <c r="B26" s="24" t="e">
        <f>('QUADRO II'!#REF!)</f>
        <v>#REF!</v>
      </c>
      <c r="C26" s="109" t="e">
        <f>CAPA!#REF!</f>
        <v>#REF!</v>
      </c>
      <c r="D26" s="86" t="e">
        <f>'QUADRO IV B'!D25</f>
        <v>#REF!</v>
      </c>
      <c r="E26" s="109" t="e">
        <f t="shared" si="0"/>
        <v>#REF!</v>
      </c>
      <c r="F26" s="109" t="e">
        <f>('QUADRO II'!#REF!)+('QUADRO II'!#REF!)</f>
        <v>#REF!</v>
      </c>
      <c r="G26" s="109" t="e">
        <f t="shared" si="1"/>
        <v>#REF!</v>
      </c>
      <c r="H26" s="109" t="e">
        <f t="shared" si="2"/>
        <v>#REF!</v>
      </c>
      <c r="I26" s="109"/>
      <c r="J26" s="109" t="e">
        <f t="shared" si="3"/>
        <v>#REF!</v>
      </c>
      <c r="K26" s="321" t="e">
        <f>('QUADRO II'!#REF!)</f>
        <v>#REF!</v>
      </c>
      <c r="L26" s="24" t="e">
        <f>('QUADRO II'!#REF!)</f>
        <v>#REF!</v>
      </c>
      <c r="M26" s="23"/>
      <c r="N26" s="202"/>
    </row>
    <row r="27" spans="1:14" ht="13.2" customHeight="1" x14ac:dyDescent="0.25">
      <c r="A27" s="200"/>
      <c r="B27" s="24" t="e">
        <f>('QUADRO II'!#REF!)</f>
        <v>#REF!</v>
      </c>
      <c r="C27" s="109" t="e">
        <f>CAPA!#REF!</f>
        <v>#REF!</v>
      </c>
      <c r="D27" s="86" t="e">
        <f>'QUADRO IV B'!D26</f>
        <v>#REF!</v>
      </c>
      <c r="E27" s="109" t="e">
        <f t="shared" si="0"/>
        <v>#REF!</v>
      </c>
      <c r="F27" s="109" t="e">
        <f>('QUADRO II'!#REF!)+('QUADRO II'!#REF!)</f>
        <v>#REF!</v>
      </c>
      <c r="G27" s="109" t="e">
        <f t="shared" si="1"/>
        <v>#REF!</v>
      </c>
      <c r="H27" s="109" t="e">
        <f t="shared" si="2"/>
        <v>#REF!</v>
      </c>
      <c r="I27" s="109"/>
      <c r="J27" s="109" t="e">
        <f t="shared" si="3"/>
        <v>#REF!</v>
      </c>
      <c r="K27" s="321" t="e">
        <f>('QUADRO II'!#REF!)</f>
        <v>#REF!</v>
      </c>
      <c r="L27" s="24" t="e">
        <f>('QUADRO II'!#REF!)</f>
        <v>#REF!</v>
      </c>
      <c r="M27" s="23"/>
      <c r="N27" s="202"/>
    </row>
    <row r="28" spans="1:14" ht="13.2" customHeight="1" x14ac:dyDescent="0.25">
      <c r="A28" s="200"/>
      <c r="B28" s="24" t="e">
        <f>('QUADRO II'!#REF!)</f>
        <v>#REF!</v>
      </c>
      <c r="C28" s="109" t="e">
        <f>CAPA!#REF!</f>
        <v>#REF!</v>
      </c>
      <c r="D28" s="86" t="e">
        <f>'QUADRO IV B'!D27</f>
        <v>#REF!</v>
      </c>
      <c r="E28" s="109" t="e">
        <f t="shared" si="0"/>
        <v>#REF!</v>
      </c>
      <c r="F28" s="109" t="e">
        <f>('QUADRO II'!#REF!)+('QUADRO II'!#REF!)</f>
        <v>#REF!</v>
      </c>
      <c r="G28" s="109" t="e">
        <f t="shared" si="1"/>
        <v>#REF!</v>
      </c>
      <c r="H28" s="109" t="e">
        <f t="shared" si="2"/>
        <v>#REF!</v>
      </c>
      <c r="I28" s="109"/>
      <c r="J28" s="109" t="e">
        <f t="shared" si="3"/>
        <v>#REF!</v>
      </c>
      <c r="K28" s="321" t="e">
        <f>('QUADRO II'!#REF!)</f>
        <v>#REF!</v>
      </c>
      <c r="L28" s="24" t="e">
        <f>('QUADRO II'!#REF!)</f>
        <v>#REF!</v>
      </c>
      <c r="M28" s="23"/>
      <c r="N28" s="202"/>
    </row>
    <row r="29" spans="1:14" ht="13.2" customHeight="1" x14ac:dyDescent="0.25">
      <c r="A29" s="200"/>
      <c r="B29" s="24" t="e">
        <f>('QUADRO II'!#REF!)</f>
        <v>#REF!</v>
      </c>
      <c r="C29" s="109" t="e">
        <f>CAPA!#REF!</f>
        <v>#REF!</v>
      </c>
      <c r="D29" s="86" t="e">
        <f>'QUADRO IV B'!D28</f>
        <v>#REF!</v>
      </c>
      <c r="E29" s="109" t="e">
        <f t="shared" si="0"/>
        <v>#REF!</v>
      </c>
      <c r="F29" s="109" t="e">
        <f>('QUADRO II'!#REF!)+('QUADRO II'!#REF!)</f>
        <v>#REF!</v>
      </c>
      <c r="G29" s="109" t="e">
        <f t="shared" si="1"/>
        <v>#REF!</v>
      </c>
      <c r="H29" s="109" t="e">
        <f t="shared" si="2"/>
        <v>#REF!</v>
      </c>
      <c r="I29" s="109"/>
      <c r="J29" s="109" t="e">
        <f t="shared" si="3"/>
        <v>#REF!</v>
      </c>
      <c r="K29" s="321" t="e">
        <f>('QUADRO II'!#REF!)</f>
        <v>#REF!</v>
      </c>
      <c r="L29" s="24" t="e">
        <f>('QUADRO II'!#REF!)</f>
        <v>#REF!</v>
      </c>
      <c r="M29" s="23"/>
      <c r="N29" s="202"/>
    </row>
    <row r="30" spans="1:14" ht="13.2" customHeight="1" x14ac:dyDescent="0.25">
      <c r="A30" s="200"/>
      <c r="B30" s="24" t="e">
        <f>('QUADRO II'!#REF!)</f>
        <v>#REF!</v>
      </c>
      <c r="C30" s="109" t="e">
        <f>CAPA!#REF!</f>
        <v>#REF!</v>
      </c>
      <c r="D30" s="86" t="e">
        <f>'QUADRO IV B'!D29</f>
        <v>#REF!</v>
      </c>
      <c r="E30" s="109" t="e">
        <f t="shared" si="0"/>
        <v>#REF!</v>
      </c>
      <c r="F30" s="109" t="e">
        <f>('QUADRO II'!#REF!)+('QUADRO II'!#REF!)</f>
        <v>#REF!</v>
      </c>
      <c r="G30" s="109" t="e">
        <f t="shared" si="1"/>
        <v>#REF!</v>
      </c>
      <c r="H30" s="109" t="e">
        <f t="shared" si="2"/>
        <v>#REF!</v>
      </c>
      <c r="I30" s="109"/>
      <c r="J30" s="109" t="e">
        <f t="shared" si="3"/>
        <v>#REF!</v>
      </c>
      <c r="K30" s="321" t="e">
        <f>('QUADRO II'!#REF!)</f>
        <v>#REF!</v>
      </c>
      <c r="L30" s="24" t="e">
        <f>('QUADRO II'!#REF!)</f>
        <v>#REF!</v>
      </c>
      <c r="M30" s="23"/>
      <c r="N30" s="202"/>
    </row>
    <row r="31" spans="1:14" ht="13.2" customHeight="1" x14ac:dyDescent="0.25">
      <c r="A31" s="200"/>
      <c r="B31" s="24" t="e">
        <f>('QUADRO II'!#REF!)</f>
        <v>#REF!</v>
      </c>
      <c r="C31" s="109" t="e">
        <f>CAPA!#REF!</f>
        <v>#REF!</v>
      </c>
      <c r="D31" s="86" t="e">
        <f>'QUADRO IV B'!D30</f>
        <v>#REF!</v>
      </c>
      <c r="E31" s="109" t="e">
        <f t="shared" si="0"/>
        <v>#REF!</v>
      </c>
      <c r="F31" s="109" t="e">
        <f>('QUADRO II'!#REF!)+('QUADRO II'!#REF!)</f>
        <v>#REF!</v>
      </c>
      <c r="G31" s="109" t="e">
        <f t="shared" si="1"/>
        <v>#REF!</v>
      </c>
      <c r="H31" s="109" t="e">
        <f t="shared" si="2"/>
        <v>#REF!</v>
      </c>
      <c r="I31" s="109"/>
      <c r="J31" s="109" t="e">
        <f t="shared" si="3"/>
        <v>#REF!</v>
      </c>
      <c r="K31" s="321" t="e">
        <f>('QUADRO II'!#REF!)</f>
        <v>#REF!</v>
      </c>
      <c r="L31" s="24" t="e">
        <f>('QUADRO II'!#REF!)</f>
        <v>#REF!</v>
      </c>
      <c r="M31" s="23"/>
      <c r="N31" s="202"/>
    </row>
    <row r="32" spans="1:14" ht="13.2" customHeight="1" x14ac:dyDescent="0.25">
      <c r="A32" s="200"/>
      <c r="B32" s="24" t="e">
        <f>('QUADRO II'!#REF!)</f>
        <v>#REF!</v>
      </c>
      <c r="C32" s="109" t="e">
        <f>CAPA!#REF!</f>
        <v>#REF!</v>
      </c>
      <c r="D32" s="86" t="e">
        <f>'QUADRO IV B'!D31</f>
        <v>#REF!</v>
      </c>
      <c r="E32" s="109" t="e">
        <f t="shared" si="0"/>
        <v>#REF!</v>
      </c>
      <c r="F32" s="109" t="e">
        <f>('QUADRO II'!#REF!)+('QUADRO II'!#REF!)</f>
        <v>#REF!</v>
      </c>
      <c r="G32" s="109" t="e">
        <f t="shared" si="1"/>
        <v>#REF!</v>
      </c>
      <c r="H32" s="109" t="e">
        <f t="shared" si="2"/>
        <v>#REF!</v>
      </c>
      <c r="I32" s="109"/>
      <c r="J32" s="109" t="e">
        <f t="shared" si="3"/>
        <v>#REF!</v>
      </c>
      <c r="K32" s="321" t="e">
        <f>('QUADRO II'!#REF!)</f>
        <v>#REF!</v>
      </c>
      <c r="L32" s="24" t="e">
        <f>('QUADRO II'!#REF!)</f>
        <v>#REF!</v>
      </c>
      <c r="M32" s="23"/>
      <c r="N32" s="202"/>
    </row>
    <row r="33" spans="1:14" ht="13.2" customHeight="1" x14ac:dyDescent="0.25">
      <c r="A33" s="200"/>
      <c r="B33" s="24" t="e">
        <f>('QUADRO II'!#REF!)</f>
        <v>#REF!</v>
      </c>
      <c r="C33" s="109" t="e">
        <f>CAPA!#REF!</f>
        <v>#REF!</v>
      </c>
      <c r="D33" s="86" t="e">
        <f>'QUADRO IV B'!D32</f>
        <v>#REF!</v>
      </c>
      <c r="E33" s="109" t="e">
        <f t="shared" si="0"/>
        <v>#REF!</v>
      </c>
      <c r="F33" s="109" t="e">
        <f>('QUADRO II'!#REF!)+('QUADRO II'!#REF!)</f>
        <v>#REF!</v>
      </c>
      <c r="G33" s="109" t="e">
        <f t="shared" si="1"/>
        <v>#REF!</v>
      </c>
      <c r="H33" s="109" t="e">
        <f t="shared" si="2"/>
        <v>#REF!</v>
      </c>
      <c r="I33" s="109"/>
      <c r="J33" s="109" t="e">
        <f t="shared" si="3"/>
        <v>#REF!</v>
      </c>
      <c r="K33" s="321" t="e">
        <f>('QUADRO II'!#REF!)</f>
        <v>#REF!</v>
      </c>
      <c r="L33" s="24" t="e">
        <f>('QUADRO II'!#REF!)</f>
        <v>#REF!</v>
      </c>
      <c r="M33" s="23"/>
      <c r="N33" s="202"/>
    </row>
    <row r="34" spans="1:14" ht="13.2" customHeight="1" x14ac:dyDescent="0.25">
      <c r="A34" s="200"/>
      <c r="B34" s="24" t="e">
        <f>('QUADRO II'!#REF!)</f>
        <v>#REF!</v>
      </c>
      <c r="C34" s="109" t="e">
        <f>CAPA!#REF!</f>
        <v>#REF!</v>
      </c>
      <c r="D34" s="86" t="e">
        <f>'QUADRO IV B'!D33</f>
        <v>#REF!</v>
      </c>
      <c r="E34" s="109" t="e">
        <f t="shared" si="0"/>
        <v>#REF!</v>
      </c>
      <c r="F34" s="109" t="e">
        <f>('QUADRO II'!#REF!)+('QUADRO II'!#REF!)</f>
        <v>#REF!</v>
      </c>
      <c r="G34" s="109" t="e">
        <f t="shared" si="1"/>
        <v>#REF!</v>
      </c>
      <c r="H34" s="109" t="e">
        <f t="shared" si="2"/>
        <v>#REF!</v>
      </c>
      <c r="I34" s="109"/>
      <c r="J34" s="109" t="e">
        <f t="shared" si="3"/>
        <v>#REF!</v>
      </c>
      <c r="K34" s="321" t="e">
        <f>('QUADRO II'!#REF!)</f>
        <v>#REF!</v>
      </c>
      <c r="L34" s="24" t="e">
        <f>('QUADRO II'!#REF!)</f>
        <v>#REF!</v>
      </c>
      <c r="M34" s="23"/>
      <c r="N34" s="202"/>
    </row>
    <row r="35" spans="1:14" ht="13.2" customHeight="1" x14ac:dyDescent="0.25">
      <c r="A35" s="200"/>
      <c r="B35" s="24" t="e">
        <f>('QUADRO II'!#REF!)</f>
        <v>#REF!</v>
      </c>
      <c r="C35" s="109" t="e">
        <f>CAPA!#REF!</f>
        <v>#REF!</v>
      </c>
      <c r="D35" s="86" t="e">
        <f>'QUADRO IV B'!D34</f>
        <v>#REF!</v>
      </c>
      <c r="E35" s="109" t="e">
        <f t="shared" si="0"/>
        <v>#REF!</v>
      </c>
      <c r="F35" s="109" t="e">
        <f>('QUADRO II'!#REF!)+('QUADRO II'!#REF!)</f>
        <v>#REF!</v>
      </c>
      <c r="G35" s="109" t="e">
        <f t="shared" si="1"/>
        <v>#REF!</v>
      </c>
      <c r="H35" s="109" t="e">
        <f t="shared" si="2"/>
        <v>#REF!</v>
      </c>
      <c r="I35" s="109"/>
      <c r="J35" s="109" t="e">
        <f t="shared" si="3"/>
        <v>#REF!</v>
      </c>
      <c r="K35" s="321" t="e">
        <f>('QUADRO II'!#REF!)</f>
        <v>#REF!</v>
      </c>
      <c r="L35" s="24" t="e">
        <f>('QUADRO II'!#REF!)</f>
        <v>#REF!</v>
      </c>
      <c r="M35" s="23"/>
      <c r="N35" s="202"/>
    </row>
    <row r="36" spans="1:14" ht="13.2" customHeight="1" x14ac:dyDescent="0.25">
      <c r="A36" s="200"/>
      <c r="B36" s="24" t="e">
        <f>('QUADRO II'!#REF!)</f>
        <v>#REF!</v>
      </c>
      <c r="C36" s="109" t="e">
        <f>CAPA!#REF!</f>
        <v>#REF!</v>
      </c>
      <c r="D36" s="86" t="e">
        <f>'QUADRO IV B'!D35</f>
        <v>#REF!</v>
      </c>
      <c r="E36" s="109" t="e">
        <f t="shared" si="0"/>
        <v>#REF!</v>
      </c>
      <c r="F36" s="109" t="e">
        <f>('QUADRO II'!#REF!)+('QUADRO II'!#REF!)</f>
        <v>#REF!</v>
      </c>
      <c r="G36" s="109" t="e">
        <f t="shared" si="1"/>
        <v>#REF!</v>
      </c>
      <c r="H36" s="109" t="e">
        <f t="shared" si="2"/>
        <v>#REF!</v>
      </c>
      <c r="I36" s="109"/>
      <c r="J36" s="109" t="e">
        <f t="shared" si="3"/>
        <v>#REF!</v>
      </c>
      <c r="K36" s="321" t="e">
        <f>('QUADRO II'!#REF!)</f>
        <v>#REF!</v>
      </c>
      <c r="L36" s="24" t="e">
        <f>('QUADRO II'!#REF!)</f>
        <v>#REF!</v>
      </c>
      <c r="M36" s="23"/>
      <c r="N36" s="202"/>
    </row>
    <row r="37" spans="1:14" ht="13.2" customHeight="1" x14ac:dyDescent="0.25">
      <c r="A37" s="200"/>
      <c r="B37" s="24" t="e">
        <f>('QUADRO II'!#REF!)</f>
        <v>#REF!</v>
      </c>
      <c r="C37" s="109" t="e">
        <f>CAPA!#REF!</f>
        <v>#REF!</v>
      </c>
      <c r="D37" s="86" t="e">
        <f>'QUADRO IV B'!D36</f>
        <v>#REF!</v>
      </c>
      <c r="E37" s="109" t="e">
        <f t="shared" si="0"/>
        <v>#REF!</v>
      </c>
      <c r="F37" s="109" t="e">
        <f>('QUADRO II'!#REF!)+('QUADRO II'!#REF!)</f>
        <v>#REF!</v>
      </c>
      <c r="G37" s="109" t="e">
        <f t="shared" si="1"/>
        <v>#REF!</v>
      </c>
      <c r="H37" s="109" t="e">
        <f t="shared" si="2"/>
        <v>#REF!</v>
      </c>
      <c r="I37" s="109"/>
      <c r="J37" s="109" t="e">
        <f t="shared" si="3"/>
        <v>#REF!</v>
      </c>
      <c r="K37" s="321" t="e">
        <f>('QUADRO II'!#REF!)</f>
        <v>#REF!</v>
      </c>
      <c r="L37" s="24" t="e">
        <f>('QUADRO II'!#REF!)</f>
        <v>#REF!</v>
      </c>
      <c r="M37" s="23"/>
      <c r="N37" s="202"/>
    </row>
    <row r="38" spans="1:14" ht="13.2" customHeight="1" x14ac:dyDescent="0.25">
      <c r="A38" s="200"/>
      <c r="B38" s="24" t="e">
        <f>('QUADRO II'!#REF!)</f>
        <v>#REF!</v>
      </c>
      <c r="C38" s="109" t="e">
        <f>CAPA!#REF!</f>
        <v>#REF!</v>
      </c>
      <c r="D38" s="86" t="e">
        <f>'QUADRO IV B'!D37</f>
        <v>#REF!</v>
      </c>
      <c r="E38" s="109" t="e">
        <f t="shared" si="0"/>
        <v>#REF!</v>
      </c>
      <c r="F38" s="109" t="e">
        <f>('QUADRO II'!#REF!)+('QUADRO II'!#REF!)</f>
        <v>#REF!</v>
      </c>
      <c r="G38" s="109" t="e">
        <f t="shared" si="1"/>
        <v>#REF!</v>
      </c>
      <c r="H38" s="109" t="e">
        <f t="shared" si="2"/>
        <v>#REF!</v>
      </c>
      <c r="I38" s="109"/>
      <c r="J38" s="109" t="e">
        <f t="shared" si="3"/>
        <v>#REF!</v>
      </c>
      <c r="K38" s="321" t="e">
        <f>('QUADRO II'!#REF!)</f>
        <v>#REF!</v>
      </c>
      <c r="L38" s="24" t="e">
        <f>('QUADRO II'!#REF!)</f>
        <v>#REF!</v>
      </c>
      <c r="M38" s="23"/>
      <c r="N38" s="202"/>
    </row>
    <row r="39" spans="1:14" ht="13.2" customHeight="1" x14ac:dyDescent="0.25">
      <c r="A39" s="200"/>
      <c r="B39" s="24" t="e">
        <f>('QUADRO II'!#REF!)</f>
        <v>#REF!</v>
      </c>
      <c r="C39" s="109" t="e">
        <f>CAPA!#REF!</f>
        <v>#REF!</v>
      </c>
      <c r="D39" s="86" t="e">
        <f>'QUADRO IV B'!D38</f>
        <v>#REF!</v>
      </c>
      <c r="E39" s="109" t="e">
        <f t="shared" si="0"/>
        <v>#REF!</v>
      </c>
      <c r="F39" s="109" t="e">
        <f>('QUADRO II'!#REF!)+('QUADRO II'!#REF!)</f>
        <v>#REF!</v>
      </c>
      <c r="G39" s="109" t="e">
        <f t="shared" si="1"/>
        <v>#REF!</v>
      </c>
      <c r="H39" s="109" t="e">
        <f t="shared" si="2"/>
        <v>#REF!</v>
      </c>
      <c r="I39" s="109"/>
      <c r="J39" s="109" t="e">
        <f t="shared" si="3"/>
        <v>#REF!</v>
      </c>
      <c r="K39" s="321" t="e">
        <f>('QUADRO II'!#REF!)</f>
        <v>#REF!</v>
      </c>
      <c r="L39" s="24" t="e">
        <f>('QUADRO II'!#REF!)</f>
        <v>#REF!</v>
      </c>
      <c r="M39" s="23"/>
      <c r="N39" s="202"/>
    </row>
    <row r="40" spans="1:14" ht="13.2" customHeight="1" x14ac:dyDescent="0.25">
      <c r="A40" s="200"/>
      <c r="B40" s="24" t="e">
        <f>('QUADRO II'!#REF!)</f>
        <v>#REF!</v>
      </c>
      <c r="C40" s="109" t="e">
        <f>CAPA!#REF!</f>
        <v>#REF!</v>
      </c>
      <c r="D40" s="86" t="e">
        <f>'QUADRO IV B'!D39</f>
        <v>#REF!</v>
      </c>
      <c r="E40" s="109" t="e">
        <f t="shared" si="0"/>
        <v>#REF!</v>
      </c>
      <c r="F40" s="109" t="e">
        <f>('QUADRO II'!#REF!)+('QUADRO II'!#REF!)</f>
        <v>#REF!</v>
      </c>
      <c r="G40" s="109" t="e">
        <f t="shared" si="1"/>
        <v>#REF!</v>
      </c>
      <c r="H40" s="109" t="e">
        <f t="shared" si="2"/>
        <v>#REF!</v>
      </c>
      <c r="I40" s="109"/>
      <c r="J40" s="109" t="e">
        <f t="shared" si="3"/>
        <v>#REF!</v>
      </c>
      <c r="K40" s="321" t="e">
        <f>('QUADRO II'!#REF!)</f>
        <v>#REF!</v>
      </c>
      <c r="L40" s="24" t="e">
        <f>('QUADRO II'!#REF!)</f>
        <v>#REF!</v>
      </c>
      <c r="M40" s="23"/>
      <c r="N40" s="202"/>
    </row>
    <row r="41" spans="1:14" ht="13.2" customHeight="1" x14ac:dyDescent="0.25">
      <c r="A41" s="200"/>
      <c r="B41" s="24" t="e">
        <f>('QUADRO II'!#REF!)</f>
        <v>#REF!</v>
      </c>
      <c r="C41" s="109" t="e">
        <f>CAPA!#REF!</f>
        <v>#REF!</v>
      </c>
      <c r="D41" s="86" t="e">
        <f>'QUADRO IV B'!D40</f>
        <v>#REF!</v>
      </c>
      <c r="E41" s="109" t="e">
        <f t="shared" si="0"/>
        <v>#REF!</v>
      </c>
      <c r="F41" s="109" t="e">
        <f>('QUADRO II'!#REF!)+('QUADRO II'!#REF!)</f>
        <v>#REF!</v>
      </c>
      <c r="G41" s="109" t="e">
        <f t="shared" si="1"/>
        <v>#REF!</v>
      </c>
      <c r="H41" s="109" t="e">
        <f t="shared" si="2"/>
        <v>#REF!</v>
      </c>
      <c r="I41" s="109"/>
      <c r="J41" s="109" t="e">
        <f t="shared" si="3"/>
        <v>#REF!</v>
      </c>
      <c r="K41" s="321" t="e">
        <f>('QUADRO II'!#REF!)</f>
        <v>#REF!</v>
      </c>
      <c r="L41" s="24" t="e">
        <f>('QUADRO II'!#REF!)</f>
        <v>#REF!</v>
      </c>
      <c r="M41" s="23"/>
      <c r="N41" s="202"/>
    </row>
    <row r="42" spans="1:14" ht="13.2" customHeight="1" x14ac:dyDescent="0.25">
      <c r="A42" s="200"/>
      <c r="B42" s="24" t="e">
        <f>('QUADRO II'!#REF!)</f>
        <v>#REF!</v>
      </c>
      <c r="C42" s="109" t="e">
        <f>CAPA!#REF!</f>
        <v>#REF!</v>
      </c>
      <c r="D42" s="86" t="e">
        <f>'QUADRO IV B'!D41</f>
        <v>#REF!</v>
      </c>
      <c r="E42" s="109" t="e">
        <f t="shared" si="0"/>
        <v>#REF!</v>
      </c>
      <c r="F42" s="109" t="e">
        <f>('QUADRO II'!#REF!)+('QUADRO II'!#REF!)</f>
        <v>#REF!</v>
      </c>
      <c r="G42" s="109" t="e">
        <f t="shared" si="1"/>
        <v>#REF!</v>
      </c>
      <c r="H42" s="109" t="e">
        <f t="shared" si="2"/>
        <v>#REF!</v>
      </c>
      <c r="I42" s="109"/>
      <c r="J42" s="109" t="e">
        <f t="shared" si="3"/>
        <v>#REF!</v>
      </c>
      <c r="K42" s="321" t="e">
        <f>('QUADRO II'!#REF!)</f>
        <v>#REF!</v>
      </c>
      <c r="L42" s="24" t="e">
        <f>('QUADRO II'!#REF!)</f>
        <v>#REF!</v>
      </c>
      <c r="M42" s="23"/>
      <c r="N42" s="202"/>
    </row>
    <row r="43" spans="1:14" ht="13.2" customHeight="1" x14ac:dyDescent="0.25">
      <c r="A43" s="200"/>
      <c r="B43" s="24" t="e">
        <f>('QUADRO II'!#REF!)</f>
        <v>#REF!</v>
      </c>
      <c r="C43" s="109" t="e">
        <f>CAPA!#REF!</f>
        <v>#REF!</v>
      </c>
      <c r="D43" s="86" t="e">
        <f>'QUADRO IV B'!D42</f>
        <v>#REF!</v>
      </c>
      <c r="E43" s="109" t="e">
        <f t="shared" si="0"/>
        <v>#REF!</v>
      </c>
      <c r="F43" s="109" t="e">
        <f>('QUADRO II'!#REF!)+('QUADRO II'!#REF!)</f>
        <v>#REF!</v>
      </c>
      <c r="G43" s="109" t="e">
        <f t="shared" si="1"/>
        <v>#REF!</v>
      </c>
      <c r="H43" s="109" t="e">
        <f t="shared" si="2"/>
        <v>#REF!</v>
      </c>
      <c r="I43" s="109"/>
      <c r="J43" s="109" t="e">
        <f t="shared" si="3"/>
        <v>#REF!</v>
      </c>
      <c r="K43" s="321" t="e">
        <f>('QUADRO II'!#REF!)</f>
        <v>#REF!</v>
      </c>
      <c r="L43" s="24" t="e">
        <f>('QUADRO II'!#REF!)</f>
        <v>#REF!</v>
      </c>
      <c r="M43" s="23"/>
      <c r="N43" s="202"/>
    </row>
    <row r="44" spans="1:14" ht="13.2" customHeight="1" x14ac:dyDescent="0.25">
      <c r="A44" s="200"/>
      <c r="B44" s="24" t="e">
        <f>('QUADRO II'!#REF!)</f>
        <v>#REF!</v>
      </c>
      <c r="C44" s="109" t="e">
        <f>CAPA!#REF!</f>
        <v>#REF!</v>
      </c>
      <c r="D44" s="86" t="e">
        <f>'QUADRO IV B'!D43</f>
        <v>#REF!</v>
      </c>
      <c r="E44" s="109" t="e">
        <f t="shared" si="0"/>
        <v>#REF!</v>
      </c>
      <c r="F44" s="109" t="e">
        <f>('QUADRO II'!#REF!)+('QUADRO II'!#REF!)</f>
        <v>#REF!</v>
      </c>
      <c r="G44" s="109" t="e">
        <f t="shared" si="1"/>
        <v>#REF!</v>
      </c>
      <c r="H44" s="109" t="e">
        <f t="shared" si="2"/>
        <v>#REF!</v>
      </c>
      <c r="I44" s="109"/>
      <c r="J44" s="109" t="e">
        <f t="shared" si="3"/>
        <v>#REF!</v>
      </c>
      <c r="K44" s="321" t="e">
        <f>('QUADRO II'!#REF!)</f>
        <v>#REF!</v>
      </c>
      <c r="L44" s="24" t="e">
        <f>('QUADRO II'!#REF!)</f>
        <v>#REF!</v>
      </c>
      <c r="M44" s="23"/>
      <c r="N44" s="202"/>
    </row>
    <row r="45" spans="1:14" ht="13.2" customHeight="1" x14ac:dyDescent="0.25">
      <c r="A45" s="200"/>
      <c r="B45" s="24" t="e">
        <f>('QUADRO II'!#REF!)</f>
        <v>#REF!</v>
      </c>
      <c r="C45" s="109" t="e">
        <f>CAPA!#REF!</f>
        <v>#REF!</v>
      </c>
      <c r="D45" s="86" t="e">
        <f>'QUADRO IV B'!D44</f>
        <v>#REF!</v>
      </c>
      <c r="E45" s="109" t="e">
        <f t="shared" si="0"/>
        <v>#REF!</v>
      </c>
      <c r="F45" s="109" t="e">
        <f>('QUADRO II'!#REF!)+('QUADRO II'!#REF!)</f>
        <v>#REF!</v>
      </c>
      <c r="G45" s="109" t="e">
        <f t="shared" si="1"/>
        <v>#REF!</v>
      </c>
      <c r="H45" s="109" t="e">
        <f t="shared" si="2"/>
        <v>#REF!</v>
      </c>
      <c r="I45" s="109"/>
      <c r="J45" s="109" t="e">
        <f t="shared" si="3"/>
        <v>#REF!</v>
      </c>
      <c r="K45" s="321" t="e">
        <f>('QUADRO II'!#REF!)</f>
        <v>#REF!</v>
      </c>
      <c r="L45" s="24" t="e">
        <f>('QUADRO II'!#REF!)</f>
        <v>#REF!</v>
      </c>
      <c r="M45" s="23"/>
      <c r="N45" s="202"/>
    </row>
    <row r="46" spans="1:14" ht="13.2" customHeight="1" x14ac:dyDescent="0.25">
      <c r="A46" s="200"/>
      <c r="B46" s="24" t="e">
        <f>('QUADRO II'!#REF!)</f>
        <v>#REF!</v>
      </c>
      <c r="C46" s="109" t="e">
        <f>CAPA!#REF!</f>
        <v>#REF!</v>
      </c>
      <c r="D46" s="86" t="e">
        <f>'QUADRO IV B'!D45</f>
        <v>#REF!</v>
      </c>
      <c r="E46" s="109" t="e">
        <f t="shared" si="0"/>
        <v>#REF!</v>
      </c>
      <c r="F46" s="109" t="e">
        <f>('QUADRO II'!#REF!)+('QUADRO II'!#REF!)</f>
        <v>#REF!</v>
      </c>
      <c r="G46" s="109" t="e">
        <f t="shared" si="1"/>
        <v>#REF!</v>
      </c>
      <c r="H46" s="109" t="e">
        <f t="shared" si="2"/>
        <v>#REF!</v>
      </c>
      <c r="I46" s="109"/>
      <c r="J46" s="109" t="e">
        <f t="shared" si="3"/>
        <v>#REF!</v>
      </c>
      <c r="K46" s="321" t="e">
        <f>('QUADRO II'!#REF!)</f>
        <v>#REF!</v>
      </c>
      <c r="L46" s="24" t="e">
        <f>('QUADRO II'!#REF!)</f>
        <v>#REF!</v>
      </c>
      <c r="M46" s="23"/>
      <c r="N46" s="202"/>
    </row>
    <row r="47" spans="1:14" ht="13.2" customHeight="1" x14ac:dyDescent="0.25">
      <c r="A47" s="200"/>
      <c r="B47" s="24" t="e">
        <f>('QUADRO II'!#REF!)</f>
        <v>#REF!</v>
      </c>
      <c r="C47" s="109" t="e">
        <f>CAPA!#REF!</f>
        <v>#REF!</v>
      </c>
      <c r="D47" s="86" t="e">
        <f>'QUADRO IV B'!D46</f>
        <v>#REF!</v>
      </c>
      <c r="E47" s="109" t="e">
        <f t="shared" ref="E47:E78" si="4">SUM(C47+D47)</f>
        <v>#REF!</v>
      </c>
      <c r="F47" s="109" t="e">
        <f>('QUADRO II'!#REF!)+('QUADRO II'!#REF!)</f>
        <v>#REF!</v>
      </c>
      <c r="G47" s="109" t="e">
        <f t="shared" ref="G47:G78" si="5">SUM(E47+F47)</f>
        <v>#REF!</v>
      </c>
      <c r="H47" s="109" t="e">
        <f t="shared" ref="H47:H78" si="6">G47</f>
        <v>#REF!</v>
      </c>
      <c r="I47" s="109"/>
      <c r="J47" s="109" t="e">
        <f t="shared" ref="J47:J78" si="7">SUM(H47+I47)</f>
        <v>#REF!</v>
      </c>
      <c r="K47" s="321" t="e">
        <f>('QUADRO II'!#REF!)</f>
        <v>#REF!</v>
      </c>
      <c r="L47" s="24" t="e">
        <f>('QUADRO II'!#REF!)</f>
        <v>#REF!</v>
      </c>
      <c r="M47" s="23"/>
      <c r="N47" s="202"/>
    </row>
    <row r="48" spans="1:14" ht="13.2" customHeight="1" x14ac:dyDescent="0.25">
      <c r="A48" s="200"/>
      <c r="B48" s="24" t="e">
        <f>('QUADRO II'!#REF!)</f>
        <v>#REF!</v>
      </c>
      <c r="C48" s="109" t="e">
        <f>CAPA!#REF!</f>
        <v>#REF!</v>
      </c>
      <c r="D48" s="86" t="e">
        <f>'QUADRO IV B'!D47</f>
        <v>#REF!</v>
      </c>
      <c r="E48" s="109" t="e">
        <f t="shared" si="4"/>
        <v>#REF!</v>
      </c>
      <c r="F48" s="109" t="e">
        <f>('QUADRO II'!#REF!)+('QUADRO II'!#REF!)</f>
        <v>#REF!</v>
      </c>
      <c r="G48" s="109" t="e">
        <f t="shared" si="5"/>
        <v>#REF!</v>
      </c>
      <c r="H48" s="109" t="e">
        <f t="shared" si="6"/>
        <v>#REF!</v>
      </c>
      <c r="I48" s="109"/>
      <c r="J48" s="109" t="e">
        <f t="shared" si="7"/>
        <v>#REF!</v>
      </c>
      <c r="K48" s="321" t="e">
        <f>('QUADRO II'!#REF!)</f>
        <v>#REF!</v>
      </c>
      <c r="L48" s="24" t="e">
        <f>('QUADRO II'!#REF!)</f>
        <v>#REF!</v>
      </c>
      <c r="M48" s="23"/>
      <c r="N48" s="202"/>
    </row>
    <row r="49" spans="1:14" ht="13.2" customHeight="1" x14ac:dyDescent="0.25">
      <c r="A49" s="200"/>
      <c r="B49" s="24" t="e">
        <f>('QUADRO II'!#REF!)</f>
        <v>#REF!</v>
      </c>
      <c r="C49" s="109" t="e">
        <f>CAPA!#REF!</f>
        <v>#REF!</v>
      </c>
      <c r="D49" s="86" t="e">
        <f>'QUADRO IV B'!D48</f>
        <v>#REF!</v>
      </c>
      <c r="E49" s="109" t="e">
        <f t="shared" si="4"/>
        <v>#REF!</v>
      </c>
      <c r="F49" s="109" t="e">
        <f>('QUADRO II'!#REF!)+('QUADRO II'!#REF!)</f>
        <v>#REF!</v>
      </c>
      <c r="G49" s="109" t="e">
        <f t="shared" si="5"/>
        <v>#REF!</v>
      </c>
      <c r="H49" s="109" t="e">
        <f t="shared" si="6"/>
        <v>#REF!</v>
      </c>
      <c r="I49" s="109"/>
      <c r="J49" s="109" t="e">
        <f t="shared" si="7"/>
        <v>#REF!</v>
      </c>
      <c r="K49" s="321" t="e">
        <f>('QUADRO II'!#REF!)</f>
        <v>#REF!</v>
      </c>
      <c r="L49" s="24" t="e">
        <f>('QUADRO II'!#REF!)</f>
        <v>#REF!</v>
      </c>
      <c r="M49" s="23"/>
      <c r="N49" s="202"/>
    </row>
    <row r="50" spans="1:14" ht="13.2" customHeight="1" x14ac:dyDescent="0.25">
      <c r="A50" s="200"/>
      <c r="B50" s="24" t="e">
        <f>('QUADRO II'!#REF!)</f>
        <v>#REF!</v>
      </c>
      <c r="C50" s="109" t="e">
        <f>CAPA!#REF!</f>
        <v>#REF!</v>
      </c>
      <c r="D50" s="86" t="e">
        <f>'QUADRO IV B'!D49</f>
        <v>#REF!</v>
      </c>
      <c r="E50" s="109" t="e">
        <f t="shared" si="4"/>
        <v>#REF!</v>
      </c>
      <c r="F50" s="109" t="e">
        <f>('QUADRO II'!#REF!)+('QUADRO II'!#REF!)</f>
        <v>#REF!</v>
      </c>
      <c r="G50" s="109" t="e">
        <f t="shared" si="5"/>
        <v>#REF!</v>
      </c>
      <c r="H50" s="109" t="e">
        <f t="shared" si="6"/>
        <v>#REF!</v>
      </c>
      <c r="I50" s="109"/>
      <c r="J50" s="109" t="e">
        <f t="shared" si="7"/>
        <v>#REF!</v>
      </c>
      <c r="K50" s="321" t="e">
        <f>('QUADRO II'!#REF!)</f>
        <v>#REF!</v>
      </c>
      <c r="L50" s="24" t="e">
        <f>('QUADRO II'!#REF!)</f>
        <v>#REF!</v>
      </c>
      <c r="M50" s="23"/>
      <c r="N50" s="202"/>
    </row>
    <row r="51" spans="1:14" ht="13.2" customHeight="1" x14ac:dyDescent="0.25">
      <c r="A51" s="200"/>
      <c r="B51" s="24" t="e">
        <f>('QUADRO II'!#REF!)</f>
        <v>#REF!</v>
      </c>
      <c r="C51" s="109" t="e">
        <f>CAPA!#REF!</f>
        <v>#REF!</v>
      </c>
      <c r="D51" s="86" t="e">
        <f>'QUADRO IV B'!D50</f>
        <v>#REF!</v>
      </c>
      <c r="E51" s="109" t="e">
        <f t="shared" si="4"/>
        <v>#REF!</v>
      </c>
      <c r="F51" s="109" t="e">
        <f>('QUADRO II'!#REF!)+('QUADRO II'!#REF!)</f>
        <v>#REF!</v>
      </c>
      <c r="G51" s="109" t="e">
        <f t="shared" si="5"/>
        <v>#REF!</v>
      </c>
      <c r="H51" s="109" t="e">
        <f t="shared" si="6"/>
        <v>#REF!</v>
      </c>
      <c r="I51" s="109"/>
      <c r="J51" s="109" t="e">
        <f t="shared" si="7"/>
        <v>#REF!</v>
      </c>
      <c r="K51" s="321" t="e">
        <f>('QUADRO II'!#REF!)</f>
        <v>#REF!</v>
      </c>
      <c r="L51" s="24" t="e">
        <f>('QUADRO II'!#REF!)</f>
        <v>#REF!</v>
      </c>
      <c r="M51" s="23"/>
      <c r="N51" s="202"/>
    </row>
    <row r="52" spans="1:14" ht="13.2" customHeight="1" x14ac:dyDescent="0.25">
      <c r="A52" s="200"/>
      <c r="B52" s="24" t="e">
        <f>('QUADRO II'!#REF!)</f>
        <v>#REF!</v>
      </c>
      <c r="C52" s="109" t="e">
        <f>CAPA!#REF!</f>
        <v>#REF!</v>
      </c>
      <c r="D52" s="86" t="e">
        <f>'QUADRO IV B'!D51</f>
        <v>#REF!</v>
      </c>
      <c r="E52" s="109" t="e">
        <f t="shared" si="4"/>
        <v>#REF!</v>
      </c>
      <c r="F52" s="109" t="e">
        <f>('QUADRO II'!#REF!)+('QUADRO II'!#REF!)</f>
        <v>#REF!</v>
      </c>
      <c r="G52" s="109" t="e">
        <f t="shared" si="5"/>
        <v>#REF!</v>
      </c>
      <c r="H52" s="109" t="e">
        <f t="shared" si="6"/>
        <v>#REF!</v>
      </c>
      <c r="I52" s="109"/>
      <c r="J52" s="109" t="e">
        <f t="shared" si="7"/>
        <v>#REF!</v>
      </c>
      <c r="K52" s="321" t="e">
        <f>('QUADRO II'!#REF!)</f>
        <v>#REF!</v>
      </c>
      <c r="L52" s="24" t="e">
        <f>('QUADRO II'!#REF!)</f>
        <v>#REF!</v>
      </c>
      <c r="M52" s="23"/>
      <c r="N52" s="202"/>
    </row>
    <row r="53" spans="1:14" ht="13.2" customHeight="1" x14ac:dyDescent="0.25">
      <c r="A53" s="200"/>
      <c r="B53" s="24" t="e">
        <f>('QUADRO II'!#REF!)</f>
        <v>#REF!</v>
      </c>
      <c r="C53" s="109" t="e">
        <f>CAPA!#REF!</f>
        <v>#REF!</v>
      </c>
      <c r="D53" s="86" t="e">
        <f>'QUADRO IV B'!D52</f>
        <v>#REF!</v>
      </c>
      <c r="E53" s="109" t="e">
        <f t="shared" si="4"/>
        <v>#REF!</v>
      </c>
      <c r="F53" s="109" t="e">
        <f>('QUADRO II'!#REF!)+('QUADRO II'!#REF!)</f>
        <v>#REF!</v>
      </c>
      <c r="G53" s="109" t="e">
        <f t="shared" si="5"/>
        <v>#REF!</v>
      </c>
      <c r="H53" s="109" t="e">
        <f t="shared" si="6"/>
        <v>#REF!</v>
      </c>
      <c r="I53" s="109"/>
      <c r="J53" s="109" t="e">
        <f t="shared" si="7"/>
        <v>#REF!</v>
      </c>
      <c r="K53" s="321" t="e">
        <f>('QUADRO II'!#REF!)</f>
        <v>#REF!</v>
      </c>
      <c r="L53" s="24" t="e">
        <f>('QUADRO II'!#REF!)</f>
        <v>#REF!</v>
      </c>
      <c r="M53" s="23"/>
      <c r="N53" s="202"/>
    </row>
    <row r="54" spans="1:14" ht="13.2" customHeight="1" x14ac:dyDescent="0.25">
      <c r="A54" s="200"/>
      <c r="B54" s="24" t="e">
        <f>('QUADRO II'!#REF!)</f>
        <v>#REF!</v>
      </c>
      <c r="C54" s="109" t="e">
        <f>CAPA!#REF!</f>
        <v>#REF!</v>
      </c>
      <c r="D54" s="86" t="e">
        <f>'QUADRO IV B'!D53</f>
        <v>#REF!</v>
      </c>
      <c r="E54" s="109" t="e">
        <f t="shared" si="4"/>
        <v>#REF!</v>
      </c>
      <c r="F54" s="109" t="e">
        <f>('QUADRO II'!#REF!)+('QUADRO II'!#REF!)</f>
        <v>#REF!</v>
      </c>
      <c r="G54" s="109" t="e">
        <f t="shared" si="5"/>
        <v>#REF!</v>
      </c>
      <c r="H54" s="109" t="e">
        <f t="shared" si="6"/>
        <v>#REF!</v>
      </c>
      <c r="I54" s="109"/>
      <c r="J54" s="109" t="e">
        <f t="shared" si="7"/>
        <v>#REF!</v>
      </c>
      <c r="K54" s="321" t="e">
        <f>('QUADRO II'!#REF!)</f>
        <v>#REF!</v>
      </c>
      <c r="L54" s="24" t="e">
        <f>('QUADRO II'!#REF!)</f>
        <v>#REF!</v>
      </c>
      <c r="M54" s="23"/>
      <c r="N54" s="202"/>
    </row>
    <row r="55" spans="1:14" ht="13.2" customHeight="1" x14ac:dyDescent="0.25">
      <c r="A55" s="200"/>
      <c r="B55" s="24" t="e">
        <f>('QUADRO II'!#REF!)</f>
        <v>#REF!</v>
      </c>
      <c r="C55" s="109" t="e">
        <f>CAPA!#REF!</f>
        <v>#REF!</v>
      </c>
      <c r="D55" s="86" t="e">
        <f>'QUADRO IV B'!D54</f>
        <v>#REF!</v>
      </c>
      <c r="E55" s="109" t="e">
        <f t="shared" si="4"/>
        <v>#REF!</v>
      </c>
      <c r="F55" s="109" t="e">
        <f>('QUADRO II'!#REF!)+('QUADRO II'!#REF!)</f>
        <v>#REF!</v>
      </c>
      <c r="G55" s="109" t="e">
        <f t="shared" si="5"/>
        <v>#REF!</v>
      </c>
      <c r="H55" s="109" t="e">
        <f t="shared" si="6"/>
        <v>#REF!</v>
      </c>
      <c r="I55" s="109"/>
      <c r="J55" s="109" t="e">
        <f t="shared" si="7"/>
        <v>#REF!</v>
      </c>
      <c r="K55" s="321" t="e">
        <f>('QUADRO II'!#REF!)</f>
        <v>#REF!</v>
      </c>
      <c r="L55" s="24" t="e">
        <f>('QUADRO II'!#REF!)</f>
        <v>#REF!</v>
      </c>
      <c r="M55" s="23"/>
      <c r="N55" s="202"/>
    </row>
    <row r="56" spans="1:14" ht="13.2" customHeight="1" x14ac:dyDescent="0.25">
      <c r="A56" s="200"/>
      <c r="B56" s="24" t="e">
        <f>('QUADRO II'!#REF!)</f>
        <v>#REF!</v>
      </c>
      <c r="C56" s="109" t="e">
        <f>CAPA!#REF!</f>
        <v>#REF!</v>
      </c>
      <c r="D56" s="86" t="e">
        <f>'QUADRO IV B'!D55</f>
        <v>#REF!</v>
      </c>
      <c r="E56" s="109" t="e">
        <f t="shared" si="4"/>
        <v>#REF!</v>
      </c>
      <c r="F56" s="109" t="e">
        <f>('QUADRO II'!#REF!)+('QUADRO II'!#REF!)</f>
        <v>#REF!</v>
      </c>
      <c r="G56" s="109" t="e">
        <f t="shared" si="5"/>
        <v>#REF!</v>
      </c>
      <c r="H56" s="109" t="e">
        <f t="shared" si="6"/>
        <v>#REF!</v>
      </c>
      <c r="I56" s="109"/>
      <c r="J56" s="109" t="e">
        <f t="shared" si="7"/>
        <v>#REF!</v>
      </c>
      <c r="K56" s="321" t="e">
        <f>('QUADRO II'!#REF!)</f>
        <v>#REF!</v>
      </c>
      <c r="L56" s="24" t="e">
        <f>('QUADRO II'!#REF!)</f>
        <v>#REF!</v>
      </c>
      <c r="M56" s="23"/>
      <c r="N56" s="202"/>
    </row>
    <row r="57" spans="1:14" ht="13.2" customHeight="1" x14ac:dyDescent="0.25">
      <c r="A57" s="200"/>
      <c r="B57" s="24" t="e">
        <f>('QUADRO II'!#REF!)</f>
        <v>#REF!</v>
      </c>
      <c r="C57" s="109" t="e">
        <f>CAPA!#REF!</f>
        <v>#REF!</v>
      </c>
      <c r="D57" s="86" t="e">
        <f>'QUADRO IV B'!D56</f>
        <v>#REF!</v>
      </c>
      <c r="E57" s="109" t="e">
        <f t="shared" si="4"/>
        <v>#REF!</v>
      </c>
      <c r="F57" s="109" t="e">
        <f>('QUADRO II'!#REF!)+('QUADRO II'!#REF!)</f>
        <v>#REF!</v>
      </c>
      <c r="G57" s="109" t="e">
        <f t="shared" si="5"/>
        <v>#REF!</v>
      </c>
      <c r="H57" s="109" t="e">
        <f t="shared" si="6"/>
        <v>#REF!</v>
      </c>
      <c r="I57" s="109"/>
      <c r="J57" s="109" t="e">
        <f t="shared" si="7"/>
        <v>#REF!</v>
      </c>
      <c r="K57" s="321" t="e">
        <f>('QUADRO II'!#REF!)</f>
        <v>#REF!</v>
      </c>
      <c r="L57" s="24" t="e">
        <f>('QUADRO II'!#REF!)</f>
        <v>#REF!</v>
      </c>
      <c r="M57" s="23"/>
      <c r="N57" s="202"/>
    </row>
    <row r="58" spans="1:14" ht="13.2" customHeight="1" x14ac:dyDescent="0.25">
      <c r="A58" s="200"/>
      <c r="B58" s="24" t="e">
        <f>('QUADRO II'!#REF!)</f>
        <v>#REF!</v>
      </c>
      <c r="C58" s="109" t="e">
        <f>CAPA!#REF!</f>
        <v>#REF!</v>
      </c>
      <c r="D58" s="86" t="e">
        <f>'QUADRO IV B'!D57</f>
        <v>#REF!</v>
      </c>
      <c r="E58" s="109" t="e">
        <f t="shared" si="4"/>
        <v>#REF!</v>
      </c>
      <c r="F58" s="109" t="e">
        <f>('QUADRO II'!#REF!)+('QUADRO II'!#REF!)</f>
        <v>#REF!</v>
      </c>
      <c r="G58" s="109" t="e">
        <f t="shared" si="5"/>
        <v>#REF!</v>
      </c>
      <c r="H58" s="109" t="e">
        <f t="shared" si="6"/>
        <v>#REF!</v>
      </c>
      <c r="I58" s="109"/>
      <c r="J58" s="109" t="e">
        <f t="shared" si="7"/>
        <v>#REF!</v>
      </c>
      <c r="K58" s="321" t="e">
        <f>('QUADRO II'!#REF!)</f>
        <v>#REF!</v>
      </c>
      <c r="L58" s="24" t="e">
        <f>('QUADRO II'!#REF!)</f>
        <v>#REF!</v>
      </c>
      <c r="M58" s="23"/>
      <c r="N58" s="202"/>
    </row>
    <row r="59" spans="1:14" ht="13.2" customHeight="1" x14ac:dyDescent="0.25">
      <c r="A59" s="200"/>
      <c r="B59" s="24" t="e">
        <f>('QUADRO II'!#REF!)</f>
        <v>#REF!</v>
      </c>
      <c r="C59" s="109" t="e">
        <f>CAPA!#REF!</f>
        <v>#REF!</v>
      </c>
      <c r="D59" s="86" t="e">
        <f>'QUADRO IV B'!D58</f>
        <v>#REF!</v>
      </c>
      <c r="E59" s="109" t="e">
        <f t="shared" si="4"/>
        <v>#REF!</v>
      </c>
      <c r="F59" s="109" t="e">
        <f>('QUADRO II'!#REF!)+('QUADRO II'!#REF!)</f>
        <v>#REF!</v>
      </c>
      <c r="G59" s="109" t="e">
        <f t="shared" si="5"/>
        <v>#REF!</v>
      </c>
      <c r="H59" s="109" t="e">
        <f t="shared" si="6"/>
        <v>#REF!</v>
      </c>
      <c r="I59" s="109"/>
      <c r="J59" s="109" t="e">
        <f t="shared" si="7"/>
        <v>#REF!</v>
      </c>
      <c r="K59" s="321" t="e">
        <f>('QUADRO II'!#REF!)</f>
        <v>#REF!</v>
      </c>
      <c r="L59" s="24" t="e">
        <f>('QUADRO II'!#REF!)</f>
        <v>#REF!</v>
      </c>
      <c r="M59" s="23"/>
      <c r="N59" s="202"/>
    </row>
    <row r="60" spans="1:14" ht="13.2" customHeight="1" x14ac:dyDescent="0.25">
      <c r="A60" s="200"/>
      <c r="B60" s="24" t="e">
        <f>('QUADRO II'!#REF!)</f>
        <v>#REF!</v>
      </c>
      <c r="C60" s="109" t="e">
        <f>CAPA!#REF!</f>
        <v>#REF!</v>
      </c>
      <c r="D60" s="86" t="e">
        <f>'QUADRO IV B'!D59</f>
        <v>#REF!</v>
      </c>
      <c r="E60" s="109" t="e">
        <f t="shared" si="4"/>
        <v>#REF!</v>
      </c>
      <c r="F60" s="109" t="e">
        <f>('QUADRO II'!#REF!)+('QUADRO II'!#REF!)</f>
        <v>#REF!</v>
      </c>
      <c r="G60" s="109" t="e">
        <f t="shared" si="5"/>
        <v>#REF!</v>
      </c>
      <c r="H60" s="109" t="e">
        <f t="shared" si="6"/>
        <v>#REF!</v>
      </c>
      <c r="I60" s="109"/>
      <c r="J60" s="109" t="e">
        <f t="shared" si="7"/>
        <v>#REF!</v>
      </c>
      <c r="K60" s="321" t="e">
        <f>('QUADRO II'!#REF!)</f>
        <v>#REF!</v>
      </c>
      <c r="L60" s="24" t="e">
        <f>('QUADRO II'!#REF!)</f>
        <v>#REF!</v>
      </c>
      <c r="M60" s="23"/>
      <c r="N60" s="202"/>
    </row>
    <row r="61" spans="1:14" ht="13.2" customHeight="1" x14ac:dyDescent="0.25">
      <c r="A61" s="200"/>
      <c r="B61" s="24" t="e">
        <f>('QUADRO II'!#REF!)</f>
        <v>#REF!</v>
      </c>
      <c r="C61" s="109" t="e">
        <f>CAPA!#REF!</f>
        <v>#REF!</v>
      </c>
      <c r="D61" s="86" t="e">
        <f>'QUADRO IV B'!D60</f>
        <v>#REF!</v>
      </c>
      <c r="E61" s="109" t="e">
        <f t="shared" si="4"/>
        <v>#REF!</v>
      </c>
      <c r="F61" s="109" t="e">
        <f>('QUADRO II'!#REF!)+('QUADRO II'!#REF!)</f>
        <v>#REF!</v>
      </c>
      <c r="G61" s="109" t="e">
        <f t="shared" si="5"/>
        <v>#REF!</v>
      </c>
      <c r="H61" s="109" t="e">
        <f t="shared" si="6"/>
        <v>#REF!</v>
      </c>
      <c r="I61" s="109"/>
      <c r="J61" s="109" t="e">
        <f t="shared" si="7"/>
        <v>#REF!</v>
      </c>
      <c r="K61" s="321" t="e">
        <f>('QUADRO II'!#REF!)</f>
        <v>#REF!</v>
      </c>
      <c r="L61" s="24" t="e">
        <f>('QUADRO II'!#REF!)</f>
        <v>#REF!</v>
      </c>
      <c r="M61" s="23"/>
      <c r="N61" s="202"/>
    </row>
    <row r="62" spans="1:14" ht="13.2" customHeight="1" x14ac:dyDescent="0.25">
      <c r="A62" s="200"/>
      <c r="B62" s="24" t="e">
        <f>('QUADRO II'!#REF!)</f>
        <v>#REF!</v>
      </c>
      <c r="C62" s="109" t="e">
        <f>CAPA!#REF!</f>
        <v>#REF!</v>
      </c>
      <c r="D62" s="86" t="e">
        <f>'QUADRO IV B'!D61</f>
        <v>#REF!</v>
      </c>
      <c r="E62" s="109" t="e">
        <f t="shared" si="4"/>
        <v>#REF!</v>
      </c>
      <c r="F62" s="109" t="e">
        <f>('QUADRO II'!#REF!)+('QUADRO II'!#REF!)</f>
        <v>#REF!</v>
      </c>
      <c r="G62" s="109" t="e">
        <f t="shared" si="5"/>
        <v>#REF!</v>
      </c>
      <c r="H62" s="109" t="e">
        <f t="shared" si="6"/>
        <v>#REF!</v>
      </c>
      <c r="I62" s="109"/>
      <c r="J62" s="109" t="e">
        <f t="shared" si="7"/>
        <v>#REF!</v>
      </c>
      <c r="K62" s="321" t="e">
        <f>('QUADRO II'!#REF!)</f>
        <v>#REF!</v>
      </c>
      <c r="L62" s="24" t="e">
        <f>('QUADRO II'!#REF!)</f>
        <v>#REF!</v>
      </c>
      <c r="M62" s="23"/>
      <c r="N62" s="202"/>
    </row>
    <row r="63" spans="1:14" ht="13.2" customHeight="1" x14ac:dyDescent="0.25">
      <c r="A63" s="200"/>
      <c r="B63" s="24" t="e">
        <f>('QUADRO II'!#REF!)</f>
        <v>#REF!</v>
      </c>
      <c r="C63" s="109" t="e">
        <f>CAPA!#REF!</f>
        <v>#REF!</v>
      </c>
      <c r="D63" s="86" t="e">
        <f>'QUADRO IV B'!D62</f>
        <v>#REF!</v>
      </c>
      <c r="E63" s="109" t="e">
        <f t="shared" si="4"/>
        <v>#REF!</v>
      </c>
      <c r="F63" s="109" t="e">
        <f>('QUADRO II'!#REF!)+('QUADRO II'!#REF!)</f>
        <v>#REF!</v>
      </c>
      <c r="G63" s="109" t="e">
        <f t="shared" si="5"/>
        <v>#REF!</v>
      </c>
      <c r="H63" s="109" t="e">
        <f t="shared" si="6"/>
        <v>#REF!</v>
      </c>
      <c r="I63" s="109"/>
      <c r="J63" s="109" t="e">
        <f t="shared" si="7"/>
        <v>#REF!</v>
      </c>
      <c r="K63" s="321" t="e">
        <f>('QUADRO II'!#REF!)</f>
        <v>#REF!</v>
      </c>
      <c r="L63" s="24" t="e">
        <f>('QUADRO II'!#REF!)</f>
        <v>#REF!</v>
      </c>
      <c r="M63" s="23"/>
      <c r="N63" s="202"/>
    </row>
    <row r="64" spans="1:14" ht="13.2" customHeight="1" x14ac:dyDescent="0.25">
      <c r="A64" s="200"/>
      <c r="B64" s="24" t="e">
        <f>('QUADRO II'!#REF!)</f>
        <v>#REF!</v>
      </c>
      <c r="C64" s="109" t="e">
        <f>CAPA!#REF!</f>
        <v>#REF!</v>
      </c>
      <c r="D64" s="86" t="e">
        <f>'QUADRO IV B'!D63</f>
        <v>#REF!</v>
      </c>
      <c r="E64" s="109" t="e">
        <f t="shared" si="4"/>
        <v>#REF!</v>
      </c>
      <c r="F64" s="109" t="e">
        <f>('QUADRO II'!#REF!)+('QUADRO II'!#REF!)</f>
        <v>#REF!</v>
      </c>
      <c r="G64" s="109" t="e">
        <f t="shared" si="5"/>
        <v>#REF!</v>
      </c>
      <c r="H64" s="109" t="e">
        <f t="shared" si="6"/>
        <v>#REF!</v>
      </c>
      <c r="I64" s="109"/>
      <c r="J64" s="109" t="e">
        <f t="shared" si="7"/>
        <v>#REF!</v>
      </c>
      <c r="K64" s="321" t="e">
        <f>('QUADRO II'!#REF!)</f>
        <v>#REF!</v>
      </c>
      <c r="L64" s="24" t="e">
        <f>('QUADRO II'!#REF!)</f>
        <v>#REF!</v>
      </c>
      <c r="M64" s="23"/>
      <c r="N64" s="202"/>
    </row>
    <row r="65" spans="1:14" ht="13.2" customHeight="1" x14ac:dyDescent="0.25">
      <c r="A65" s="200"/>
      <c r="B65" s="24" t="e">
        <f>('QUADRO II'!#REF!)</f>
        <v>#REF!</v>
      </c>
      <c r="C65" s="109" t="e">
        <f>CAPA!#REF!</f>
        <v>#REF!</v>
      </c>
      <c r="D65" s="86" t="e">
        <f>'QUADRO IV B'!D64</f>
        <v>#REF!</v>
      </c>
      <c r="E65" s="109" t="e">
        <f t="shared" si="4"/>
        <v>#REF!</v>
      </c>
      <c r="F65" s="109" t="e">
        <f>('QUADRO II'!#REF!)+('QUADRO II'!#REF!)</f>
        <v>#REF!</v>
      </c>
      <c r="G65" s="109" t="e">
        <f t="shared" si="5"/>
        <v>#REF!</v>
      </c>
      <c r="H65" s="109" t="e">
        <f t="shared" si="6"/>
        <v>#REF!</v>
      </c>
      <c r="I65" s="109"/>
      <c r="J65" s="109" t="e">
        <f t="shared" si="7"/>
        <v>#REF!</v>
      </c>
      <c r="K65" s="321" t="e">
        <f>('QUADRO II'!#REF!)</f>
        <v>#REF!</v>
      </c>
      <c r="L65" s="24" t="e">
        <f>('QUADRO II'!#REF!)</f>
        <v>#REF!</v>
      </c>
      <c r="M65" s="23"/>
      <c r="N65" s="202"/>
    </row>
    <row r="66" spans="1:14" ht="13.2" customHeight="1" x14ac:dyDescent="0.25">
      <c r="A66" s="200"/>
      <c r="B66" s="24" t="e">
        <f>('QUADRO II'!#REF!)</f>
        <v>#REF!</v>
      </c>
      <c r="C66" s="109" t="e">
        <f>CAPA!#REF!</f>
        <v>#REF!</v>
      </c>
      <c r="D66" s="86" t="e">
        <f>'QUADRO IV B'!D65</f>
        <v>#REF!</v>
      </c>
      <c r="E66" s="109" t="e">
        <f t="shared" si="4"/>
        <v>#REF!</v>
      </c>
      <c r="F66" s="109" t="e">
        <f>('QUADRO II'!#REF!)+('QUADRO II'!#REF!)</f>
        <v>#REF!</v>
      </c>
      <c r="G66" s="109" t="e">
        <f t="shared" si="5"/>
        <v>#REF!</v>
      </c>
      <c r="H66" s="109" t="e">
        <f t="shared" si="6"/>
        <v>#REF!</v>
      </c>
      <c r="I66" s="109"/>
      <c r="J66" s="109" t="e">
        <f t="shared" si="7"/>
        <v>#REF!</v>
      </c>
      <c r="K66" s="321" t="e">
        <f>('QUADRO II'!#REF!)</f>
        <v>#REF!</v>
      </c>
      <c r="L66" s="24" t="e">
        <f>('QUADRO II'!#REF!)</f>
        <v>#REF!</v>
      </c>
      <c r="M66" s="23"/>
      <c r="N66" s="202"/>
    </row>
    <row r="67" spans="1:14" ht="13.2" customHeight="1" x14ac:dyDescent="0.25">
      <c r="A67" s="200"/>
      <c r="B67" s="24" t="e">
        <f>('QUADRO II'!#REF!)</f>
        <v>#REF!</v>
      </c>
      <c r="C67" s="109" t="e">
        <f>CAPA!#REF!</f>
        <v>#REF!</v>
      </c>
      <c r="D67" s="86" t="e">
        <f>'QUADRO IV B'!D66</f>
        <v>#REF!</v>
      </c>
      <c r="E67" s="109" t="e">
        <f t="shared" si="4"/>
        <v>#REF!</v>
      </c>
      <c r="F67" s="109" t="e">
        <f>('QUADRO II'!#REF!)+('QUADRO II'!#REF!)</f>
        <v>#REF!</v>
      </c>
      <c r="G67" s="109" t="e">
        <f t="shared" si="5"/>
        <v>#REF!</v>
      </c>
      <c r="H67" s="109" t="e">
        <f t="shared" si="6"/>
        <v>#REF!</v>
      </c>
      <c r="I67" s="109"/>
      <c r="J67" s="109" t="e">
        <f t="shared" si="7"/>
        <v>#REF!</v>
      </c>
      <c r="K67" s="321" t="e">
        <f>('QUADRO II'!#REF!)</f>
        <v>#REF!</v>
      </c>
      <c r="L67" s="24" t="e">
        <f>('QUADRO II'!#REF!)</f>
        <v>#REF!</v>
      </c>
      <c r="M67" s="23"/>
      <c r="N67" s="202"/>
    </row>
    <row r="68" spans="1:14" ht="13.2" customHeight="1" x14ac:dyDescent="0.25">
      <c r="A68" s="200"/>
      <c r="B68" s="24" t="e">
        <f>('QUADRO II'!#REF!)</f>
        <v>#REF!</v>
      </c>
      <c r="C68" s="109" t="e">
        <f>CAPA!#REF!</f>
        <v>#REF!</v>
      </c>
      <c r="D68" s="86" t="e">
        <f>'QUADRO IV B'!D67</f>
        <v>#REF!</v>
      </c>
      <c r="E68" s="109" t="e">
        <f t="shared" si="4"/>
        <v>#REF!</v>
      </c>
      <c r="F68" s="109" t="e">
        <f>('QUADRO II'!#REF!)+('QUADRO II'!#REF!)</f>
        <v>#REF!</v>
      </c>
      <c r="G68" s="109" t="e">
        <f t="shared" si="5"/>
        <v>#REF!</v>
      </c>
      <c r="H68" s="109" t="e">
        <f t="shared" si="6"/>
        <v>#REF!</v>
      </c>
      <c r="I68" s="109"/>
      <c r="J68" s="109" t="e">
        <f t="shared" si="7"/>
        <v>#REF!</v>
      </c>
      <c r="K68" s="321" t="e">
        <f>('QUADRO II'!#REF!)</f>
        <v>#REF!</v>
      </c>
      <c r="L68" s="24" t="e">
        <f>('QUADRO II'!#REF!)</f>
        <v>#REF!</v>
      </c>
      <c r="M68" s="23"/>
      <c r="N68" s="202"/>
    </row>
    <row r="69" spans="1:14" ht="9" customHeight="1" x14ac:dyDescent="0.25">
      <c r="A69" s="200"/>
      <c r="B69" s="24" t="e">
        <f>('QUADRO II'!#REF!)</f>
        <v>#REF!</v>
      </c>
      <c r="C69" s="109" t="e">
        <f>CAPA!#REF!</f>
        <v>#REF!</v>
      </c>
      <c r="D69" s="86" t="e">
        <f>'QUADRO IV B'!D68</f>
        <v>#REF!</v>
      </c>
      <c r="E69" s="109" t="e">
        <f t="shared" si="4"/>
        <v>#REF!</v>
      </c>
      <c r="F69" s="109" t="e">
        <f>('QUADRO II'!#REF!)+('QUADRO II'!#REF!)</f>
        <v>#REF!</v>
      </c>
      <c r="G69" s="109" t="e">
        <f t="shared" si="5"/>
        <v>#REF!</v>
      </c>
      <c r="H69" s="109" t="e">
        <f t="shared" si="6"/>
        <v>#REF!</v>
      </c>
      <c r="I69" s="109"/>
      <c r="J69" s="109" t="e">
        <f t="shared" si="7"/>
        <v>#REF!</v>
      </c>
      <c r="K69" s="321" t="e">
        <f>('QUADRO II'!#REF!)</f>
        <v>#REF!</v>
      </c>
      <c r="L69" s="24" t="e">
        <f>('QUADRO II'!#REF!)</f>
        <v>#REF!</v>
      </c>
      <c r="M69" s="23"/>
      <c r="N69" s="202"/>
    </row>
    <row r="70" spans="1:14" ht="13.2" customHeight="1" x14ac:dyDescent="0.25">
      <c r="A70" s="200"/>
      <c r="B70" s="24" t="e">
        <f>('QUADRO II'!#REF!)</f>
        <v>#REF!</v>
      </c>
      <c r="C70" s="109" t="e">
        <f>CAPA!#REF!</f>
        <v>#REF!</v>
      </c>
      <c r="D70" s="86" t="e">
        <f>'QUADRO IV B'!D69</f>
        <v>#REF!</v>
      </c>
      <c r="E70" s="109" t="e">
        <f t="shared" si="4"/>
        <v>#REF!</v>
      </c>
      <c r="F70" s="109" t="e">
        <f>('QUADRO II'!#REF!)+('QUADRO II'!#REF!)</f>
        <v>#REF!</v>
      </c>
      <c r="G70" s="109" t="e">
        <f t="shared" si="5"/>
        <v>#REF!</v>
      </c>
      <c r="H70" s="109" t="e">
        <f t="shared" si="6"/>
        <v>#REF!</v>
      </c>
      <c r="I70" s="109"/>
      <c r="J70" s="109" t="e">
        <f t="shared" si="7"/>
        <v>#REF!</v>
      </c>
      <c r="K70" s="321" t="e">
        <f>('QUADRO II'!#REF!)</f>
        <v>#REF!</v>
      </c>
      <c r="L70" s="24" t="e">
        <f>('QUADRO II'!#REF!)</f>
        <v>#REF!</v>
      </c>
      <c r="M70" s="23"/>
      <c r="N70" s="202"/>
    </row>
    <row r="71" spans="1:14" ht="13.2" customHeight="1" x14ac:dyDescent="0.25">
      <c r="A71" s="200"/>
      <c r="B71" s="24" t="e">
        <f>('QUADRO II'!#REF!)</f>
        <v>#REF!</v>
      </c>
      <c r="C71" s="109" t="e">
        <f>CAPA!#REF!</f>
        <v>#REF!</v>
      </c>
      <c r="D71" s="86" t="e">
        <f>'QUADRO IV B'!D70</f>
        <v>#REF!</v>
      </c>
      <c r="E71" s="109" t="e">
        <f t="shared" si="4"/>
        <v>#REF!</v>
      </c>
      <c r="F71" s="109" t="e">
        <f>('QUADRO II'!#REF!)+('QUADRO II'!#REF!)</f>
        <v>#REF!</v>
      </c>
      <c r="G71" s="109" t="e">
        <f t="shared" si="5"/>
        <v>#REF!</v>
      </c>
      <c r="H71" s="109" t="e">
        <f t="shared" si="6"/>
        <v>#REF!</v>
      </c>
      <c r="I71" s="109"/>
      <c r="J71" s="109" t="e">
        <f t="shared" si="7"/>
        <v>#REF!</v>
      </c>
      <c r="K71" s="321" t="e">
        <f>('QUADRO II'!#REF!)</f>
        <v>#REF!</v>
      </c>
      <c r="L71" s="24" t="e">
        <f>('QUADRO II'!#REF!)</f>
        <v>#REF!</v>
      </c>
      <c r="M71" s="23"/>
      <c r="N71" s="202"/>
    </row>
    <row r="72" spans="1:14" ht="13.2" customHeight="1" x14ac:dyDescent="0.25">
      <c r="A72" s="200"/>
      <c r="B72" s="24" t="e">
        <f>('QUADRO II'!#REF!)</f>
        <v>#REF!</v>
      </c>
      <c r="C72" s="109" t="e">
        <f>CAPA!#REF!</f>
        <v>#REF!</v>
      </c>
      <c r="D72" s="86" t="e">
        <f>'QUADRO IV B'!D71</f>
        <v>#REF!</v>
      </c>
      <c r="E72" s="109" t="e">
        <f t="shared" si="4"/>
        <v>#REF!</v>
      </c>
      <c r="F72" s="109" t="e">
        <f>('QUADRO II'!#REF!)+('QUADRO II'!#REF!)</f>
        <v>#REF!</v>
      </c>
      <c r="G72" s="109" t="e">
        <f t="shared" si="5"/>
        <v>#REF!</v>
      </c>
      <c r="H72" s="109" t="e">
        <f t="shared" si="6"/>
        <v>#REF!</v>
      </c>
      <c r="I72" s="109"/>
      <c r="J72" s="109" t="e">
        <f t="shared" si="7"/>
        <v>#REF!</v>
      </c>
      <c r="K72" s="321" t="e">
        <f>('QUADRO II'!#REF!)</f>
        <v>#REF!</v>
      </c>
      <c r="L72" s="24" t="e">
        <f>('QUADRO II'!#REF!)</f>
        <v>#REF!</v>
      </c>
      <c r="M72" s="23"/>
      <c r="N72" s="202"/>
    </row>
    <row r="73" spans="1:14" ht="13.2" customHeight="1" x14ac:dyDescent="0.25">
      <c r="A73" s="200"/>
      <c r="B73" s="24" t="e">
        <f>('QUADRO II'!#REF!)</f>
        <v>#REF!</v>
      </c>
      <c r="C73" s="109" t="e">
        <f>CAPA!#REF!</f>
        <v>#REF!</v>
      </c>
      <c r="D73" s="86" t="e">
        <f>'QUADRO IV B'!D72</f>
        <v>#REF!</v>
      </c>
      <c r="E73" s="109" t="e">
        <f t="shared" si="4"/>
        <v>#REF!</v>
      </c>
      <c r="F73" s="109" t="e">
        <f>('QUADRO II'!#REF!)+('QUADRO II'!#REF!)</f>
        <v>#REF!</v>
      </c>
      <c r="G73" s="109" t="e">
        <f t="shared" si="5"/>
        <v>#REF!</v>
      </c>
      <c r="H73" s="109" t="e">
        <f t="shared" si="6"/>
        <v>#REF!</v>
      </c>
      <c r="I73" s="109"/>
      <c r="J73" s="109" t="e">
        <f t="shared" si="7"/>
        <v>#REF!</v>
      </c>
      <c r="K73" s="321" t="e">
        <f>('QUADRO II'!#REF!)</f>
        <v>#REF!</v>
      </c>
      <c r="L73" s="24" t="e">
        <f>('QUADRO II'!#REF!)</f>
        <v>#REF!</v>
      </c>
      <c r="M73" s="23"/>
      <c r="N73" s="202"/>
    </row>
    <row r="74" spans="1:14" ht="13.2" customHeight="1" x14ac:dyDescent="0.25">
      <c r="A74" s="200"/>
      <c r="B74" s="24" t="e">
        <f>('QUADRO II'!#REF!)</f>
        <v>#REF!</v>
      </c>
      <c r="C74" s="109" t="e">
        <f>CAPA!#REF!</f>
        <v>#REF!</v>
      </c>
      <c r="D74" s="86" t="e">
        <f>'QUADRO IV B'!D73</f>
        <v>#REF!</v>
      </c>
      <c r="E74" s="109" t="e">
        <f t="shared" si="4"/>
        <v>#REF!</v>
      </c>
      <c r="F74" s="109" t="e">
        <f>('QUADRO II'!#REF!)+('QUADRO II'!#REF!)</f>
        <v>#REF!</v>
      </c>
      <c r="G74" s="109" t="e">
        <f t="shared" si="5"/>
        <v>#REF!</v>
      </c>
      <c r="H74" s="109" t="e">
        <f t="shared" si="6"/>
        <v>#REF!</v>
      </c>
      <c r="I74" s="109"/>
      <c r="J74" s="109" t="e">
        <f t="shared" si="7"/>
        <v>#REF!</v>
      </c>
      <c r="K74" s="321" t="e">
        <f>('QUADRO II'!#REF!)</f>
        <v>#REF!</v>
      </c>
      <c r="L74" s="24" t="e">
        <f>('QUADRO II'!#REF!)</f>
        <v>#REF!</v>
      </c>
      <c r="M74" s="23"/>
      <c r="N74" s="202"/>
    </row>
    <row r="75" spans="1:14" ht="13.2" customHeight="1" x14ac:dyDescent="0.25">
      <c r="A75" s="200"/>
      <c r="B75" s="24" t="e">
        <f>('QUADRO II'!#REF!)</f>
        <v>#REF!</v>
      </c>
      <c r="C75" s="109" t="e">
        <f>CAPA!#REF!</f>
        <v>#REF!</v>
      </c>
      <c r="D75" s="86" t="e">
        <f>'QUADRO IV B'!D74</f>
        <v>#REF!</v>
      </c>
      <c r="E75" s="109" t="e">
        <f t="shared" si="4"/>
        <v>#REF!</v>
      </c>
      <c r="F75" s="109" t="e">
        <f>('QUADRO II'!#REF!)+('QUADRO II'!#REF!)</f>
        <v>#REF!</v>
      </c>
      <c r="G75" s="109" t="e">
        <f t="shared" si="5"/>
        <v>#REF!</v>
      </c>
      <c r="H75" s="109" t="e">
        <f t="shared" si="6"/>
        <v>#REF!</v>
      </c>
      <c r="I75" s="109"/>
      <c r="J75" s="109" t="e">
        <f t="shared" si="7"/>
        <v>#REF!</v>
      </c>
      <c r="K75" s="321" t="e">
        <f>('QUADRO II'!#REF!)</f>
        <v>#REF!</v>
      </c>
      <c r="L75" s="24" t="e">
        <f>('QUADRO II'!#REF!)</f>
        <v>#REF!</v>
      </c>
      <c r="M75" s="23"/>
      <c r="N75" s="202"/>
    </row>
    <row r="76" spans="1:14" ht="13.2" customHeight="1" x14ac:dyDescent="0.25">
      <c r="A76" s="200"/>
      <c r="B76" s="24" t="e">
        <f>('QUADRO II'!#REF!)</f>
        <v>#REF!</v>
      </c>
      <c r="C76" s="109" t="e">
        <f>CAPA!#REF!</f>
        <v>#REF!</v>
      </c>
      <c r="D76" s="86" t="e">
        <f>'QUADRO IV B'!D75</f>
        <v>#REF!</v>
      </c>
      <c r="E76" s="109" t="e">
        <f t="shared" si="4"/>
        <v>#REF!</v>
      </c>
      <c r="F76" s="109" t="e">
        <f>('QUADRO II'!#REF!)+('QUADRO II'!#REF!)</f>
        <v>#REF!</v>
      </c>
      <c r="G76" s="109" t="e">
        <f t="shared" si="5"/>
        <v>#REF!</v>
      </c>
      <c r="H76" s="109" t="e">
        <f t="shared" si="6"/>
        <v>#REF!</v>
      </c>
      <c r="I76" s="109"/>
      <c r="J76" s="109" t="e">
        <f t="shared" si="7"/>
        <v>#REF!</v>
      </c>
      <c r="K76" s="321" t="e">
        <f>('QUADRO II'!#REF!)</f>
        <v>#REF!</v>
      </c>
      <c r="L76" s="24" t="e">
        <f>('QUADRO II'!#REF!)</f>
        <v>#REF!</v>
      </c>
      <c r="M76" s="23"/>
      <c r="N76" s="202"/>
    </row>
    <row r="77" spans="1:14" ht="13.2" customHeight="1" x14ac:dyDescent="0.25">
      <c r="A77" s="200"/>
      <c r="B77" s="24"/>
      <c r="C77" s="109"/>
      <c r="D77" s="86"/>
      <c r="E77" s="109"/>
      <c r="F77" s="109"/>
      <c r="G77" s="109"/>
      <c r="H77" s="109"/>
      <c r="I77" s="109"/>
      <c r="J77" s="109"/>
      <c r="K77" s="321"/>
      <c r="L77" s="24"/>
      <c r="M77" s="23"/>
      <c r="N77" s="202"/>
    </row>
    <row r="78" spans="1:14" ht="13.95" customHeight="1" x14ac:dyDescent="0.25">
      <c r="A78" s="200"/>
      <c r="B78" s="136" t="s">
        <v>145</v>
      </c>
      <c r="C78" s="87" t="e">
        <f t="shared" ref="C78:K78" si="8">SUMPRODUCT(C15:C77,$L15:$L77)</f>
        <v>#REF!</v>
      </c>
      <c r="D78" s="87" t="e">
        <f t="shared" si="8"/>
        <v>#REF!</v>
      </c>
      <c r="E78" s="87" t="e">
        <f t="shared" si="8"/>
        <v>#VALUE!</v>
      </c>
      <c r="F78" s="87" t="e">
        <f t="shared" si="8"/>
        <v>#DIV/0!</v>
      </c>
      <c r="G78" s="87" t="e">
        <f t="shared" si="8"/>
        <v>#VALUE!</v>
      </c>
      <c r="H78" s="87" t="e">
        <f t="shared" si="8"/>
        <v>#VALUE!</v>
      </c>
      <c r="I78" s="87" t="e">
        <f t="shared" si="8"/>
        <v>#REF!</v>
      </c>
      <c r="J78" s="87" t="e">
        <f t="shared" si="8"/>
        <v>#VALUE!</v>
      </c>
      <c r="K78" s="322" t="e">
        <f t="shared" si="8"/>
        <v>#DIV/0!</v>
      </c>
      <c r="L78" s="18" t="e">
        <f>SUM(L15:L77)</f>
        <v>#REF!</v>
      </c>
      <c r="M78" s="77"/>
      <c r="N78" s="202"/>
    </row>
    <row r="79" spans="1:14" ht="13.2" customHeight="1" x14ac:dyDescent="0.25">
      <c r="A79" s="200"/>
      <c r="B79" s="27" t="s">
        <v>330</v>
      </c>
      <c r="C79" s="27" t="s">
        <v>331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02"/>
    </row>
    <row r="80" spans="1:14" ht="10.8" customHeight="1" thickBot="1" x14ac:dyDescent="0.3">
      <c r="A80" s="203"/>
      <c r="B80" s="256"/>
      <c r="C80" s="256" t="s">
        <v>332</v>
      </c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04"/>
    </row>
    <row r="81" ht="10.8" customHeight="1" thickTop="1" x14ac:dyDescent="0.25"/>
  </sheetData>
  <mergeCells count="24">
    <mergeCell ref="E12:E13"/>
    <mergeCell ref="G12:G13"/>
    <mergeCell ref="L11:L14"/>
    <mergeCell ref="B4:J4"/>
    <mergeCell ref="B7:G7"/>
    <mergeCell ref="D5:J6"/>
    <mergeCell ref="B3:M3"/>
    <mergeCell ref="K5:M5"/>
    <mergeCell ref="B2:M2"/>
    <mergeCell ref="B12:B13"/>
    <mergeCell ref="F12:F13"/>
    <mergeCell ref="J10:K10"/>
    <mergeCell ref="B1:M1"/>
    <mergeCell ref="H11:J11"/>
    <mergeCell ref="H7:M7"/>
    <mergeCell ref="C12:C13"/>
    <mergeCell ref="I12:I13"/>
    <mergeCell ref="B5:C6"/>
    <mergeCell ref="K12:K13"/>
    <mergeCell ref="D12:D13"/>
    <mergeCell ref="H12:H13"/>
    <mergeCell ref="C11:G11"/>
    <mergeCell ref="J12:J13"/>
    <mergeCell ref="M11:M13"/>
  </mergeCells>
  <printOptions horizontalCentered="1" verticalCentered="1"/>
  <pageMargins left="0.59055118110236227" right="0.59055118110236227" top="0.59055118110236227" bottom="0.59055118110236227" header="0" footer="0"/>
  <pageSetup paperSize="9" scale="61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43"/>
  <sheetViews>
    <sheetView showZeros="0" topLeftCell="A22" zoomScale="82" zoomScaleNormal="82" workbookViewId="0">
      <selection activeCell="D28" sqref="D28"/>
    </sheetView>
  </sheetViews>
  <sheetFormatPr defaultColWidth="1.6640625" defaultRowHeight="10.199999999999999" x14ac:dyDescent="0.25"/>
  <cols>
    <col min="1" max="1" width="1.6640625" style="1" customWidth="1"/>
    <col min="2" max="2" width="12" style="10" customWidth="1"/>
    <col min="3" max="3" width="15.33203125" style="10" customWidth="1"/>
    <col min="4" max="4" width="9" style="1" customWidth="1"/>
    <col min="5" max="5" width="16.109375" style="1" customWidth="1"/>
    <col min="6" max="6" width="8.5546875" style="1" customWidth="1"/>
    <col min="7" max="12" width="12" style="1" customWidth="1"/>
    <col min="13" max="13" width="2" style="1" customWidth="1"/>
    <col min="14" max="14" width="1.6640625" style="1" customWidth="1"/>
    <col min="15" max="16384" width="1.6640625" style="1"/>
  </cols>
  <sheetData>
    <row r="1" spans="1:13" ht="10.199999999999999" customHeight="1" thickTop="1" x14ac:dyDescent="0.25">
      <c r="A1" s="198"/>
      <c r="B1" s="481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199"/>
    </row>
    <row r="2" spans="1:13" ht="13.2" customHeight="1" x14ac:dyDescent="0.25">
      <c r="A2" s="200"/>
      <c r="B2" s="354" t="s">
        <v>0</v>
      </c>
      <c r="C2" s="337"/>
      <c r="D2" s="337"/>
      <c r="E2" s="337"/>
      <c r="F2" s="337"/>
      <c r="G2" s="337"/>
      <c r="H2" s="337"/>
      <c r="I2" s="337"/>
      <c r="J2" s="337"/>
      <c r="K2" s="337"/>
      <c r="L2" s="338"/>
      <c r="M2" s="202"/>
    </row>
    <row r="3" spans="1:13" ht="13.2" customHeight="1" x14ac:dyDescent="0.25">
      <c r="A3" s="200"/>
      <c r="B3" s="346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1"/>
      <c r="M3" s="202"/>
    </row>
    <row r="4" spans="1:13" ht="13.2" customHeight="1" x14ac:dyDescent="0.25">
      <c r="A4" s="200"/>
      <c r="B4" s="360" t="s">
        <v>333</v>
      </c>
      <c r="C4" s="344"/>
      <c r="D4" s="344"/>
      <c r="E4" s="344"/>
      <c r="F4" s="344"/>
      <c r="G4" s="344"/>
      <c r="H4" s="344"/>
      <c r="I4" s="334"/>
      <c r="J4" s="478" t="s">
        <v>5</v>
      </c>
      <c r="K4" s="344"/>
      <c r="L4" s="334"/>
      <c r="M4" s="202"/>
    </row>
    <row r="5" spans="1:13" ht="13.2" customHeight="1" x14ac:dyDescent="0.25">
      <c r="A5" s="200"/>
      <c r="B5" s="451" t="s">
        <v>187</v>
      </c>
      <c r="C5" s="338"/>
      <c r="D5" s="336" t="str">
        <f>('QUADRO I'!$D$5)</f>
        <v>{RUA}, {COMPLEMENTO}; {SETOR} - {CIDADE}</v>
      </c>
      <c r="E5" s="337"/>
      <c r="F5" s="337"/>
      <c r="G5" s="337"/>
      <c r="H5" s="337"/>
      <c r="I5" s="338"/>
      <c r="J5" s="49" t="s">
        <v>6</v>
      </c>
      <c r="K5" s="74">
        <v>10</v>
      </c>
      <c r="L5" s="292"/>
      <c r="M5" s="202"/>
    </row>
    <row r="6" spans="1:13" ht="13.2" customHeight="1" x14ac:dyDescent="0.25">
      <c r="A6" s="200"/>
      <c r="B6" s="339"/>
      <c r="C6" s="341"/>
      <c r="D6" s="339"/>
      <c r="E6" s="340"/>
      <c r="F6" s="340"/>
      <c r="G6" s="340"/>
      <c r="H6" s="340"/>
      <c r="I6" s="341"/>
      <c r="J6" s="31" t="s">
        <v>3</v>
      </c>
      <c r="K6" s="74">
        <v>7</v>
      </c>
      <c r="L6" s="290"/>
      <c r="M6" s="202"/>
    </row>
    <row r="7" spans="1:13" ht="13.2" customHeight="1" x14ac:dyDescent="0.25">
      <c r="A7" s="200"/>
      <c r="B7" s="360" t="s">
        <v>7</v>
      </c>
      <c r="C7" s="344"/>
      <c r="D7" s="344"/>
      <c r="E7" s="344"/>
      <c r="F7" s="344"/>
      <c r="G7" s="334"/>
      <c r="H7" s="360" t="s">
        <v>8</v>
      </c>
      <c r="I7" s="344"/>
      <c r="J7" s="344"/>
      <c r="K7" s="344"/>
      <c r="L7" s="334"/>
      <c r="M7" s="202"/>
    </row>
    <row r="8" spans="1:13" ht="13.2" customHeight="1" x14ac:dyDescent="0.25">
      <c r="A8" s="200"/>
      <c r="B8" s="79" t="s">
        <v>9</v>
      </c>
      <c r="C8" s="313" t="str">
        <f>('QUADRO I'!$C$8)</f>
        <v>{IMCORPORADOR}</v>
      </c>
      <c r="D8" s="27"/>
      <c r="E8" s="27"/>
      <c r="F8" s="27"/>
      <c r="G8" s="28"/>
      <c r="H8" s="19" t="s">
        <v>9</v>
      </c>
      <c r="I8" s="313" t="str">
        <f>('QUADRO I'!$N$8)</f>
        <v>{RESPONSÁVEL TÉCNICO}</v>
      </c>
      <c r="J8" s="27"/>
      <c r="K8" s="27"/>
      <c r="L8" s="28"/>
      <c r="M8" s="202"/>
    </row>
    <row r="9" spans="1:13" ht="13.2" customHeight="1" x14ac:dyDescent="0.25">
      <c r="A9" s="200"/>
      <c r="B9" s="9" t="s">
        <v>10</v>
      </c>
      <c r="G9" s="4"/>
      <c r="H9" s="10" t="s">
        <v>10</v>
      </c>
      <c r="L9" s="4"/>
      <c r="M9" s="202"/>
    </row>
    <row r="10" spans="1:13" ht="13.2" customHeight="1" x14ac:dyDescent="0.25">
      <c r="A10" s="200"/>
      <c r="B10" s="5" t="s">
        <v>11</v>
      </c>
      <c r="C10" s="165" t="str">
        <f>('QUADRO I'!$C$10)</f>
        <v>{DATA HOJE}</v>
      </c>
      <c r="D10" s="2"/>
      <c r="E10" s="2"/>
      <c r="F10" s="2"/>
      <c r="G10" s="3"/>
      <c r="H10" s="11" t="s">
        <v>11</v>
      </c>
      <c r="I10" s="165" t="str">
        <f>('QUADRO I'!$N$10)</f>
        <v>{DATA HOJE}</v>
      </c>
      <c r="J10" s="345" t="str">
        <f>('QUADRO I'!$Q$10)</f>
        <v>Registro no CREA:</v>
      </c>
      <c r="K10" s="340"/>
      <c r="L10" s="114" t="str">
        <f>('QUADRO I'!$S$10)</f>
        <v>{CREA}</v>
      </c>
      <c r="M10" s="202"/>
    </row>
    <row r="11" spans="1:13" ht="13.2" customHeight="1" x14ac:dyDescent="0.25">
      <c r="A11" s="200"/>
      <c r="B11" s="79"/>
      <c r="C11" s="19"/>
      <c r="D11" s="27"/>
      <c r="E11" s="27"/>
      <c r="F11" s="27"/>
      <c r="G11" s="27"/>
      <c r="H11" s="27"/>
      <c r="I11" s="27"/>
      <c r="J11" s="27"/>
      <c r="K11" s="27"/>
      <c r="L11" s="28"/>
      <c r="M11" s="202"/>
    </row>
    <row r="12" spans="1:13" ht="13.2" customHeight="1" x14ac:dyDescent="0.2">
      <c r="A12" s="200"/>
      <c r="B12" s="272" t="s">
        <v>334</v>
      </c>
      <c r="L12" s="4"/>
      <c r="M12" s="202"/>
    </row>
    <row r="13" spans="1:13" ht="13.2" customHeight="1" x14ac:dyDescent="0.2">
      <c r="A13" s="200"/>
      <c r="B13" s="273" t="s">
        <v>335</v>
      </c>
      <c r="L13" s="4"/>
      <c r="M13" s="202"/>
    </row>
    <row r="14" spans="1:13" ht="13.2" customHeight="1" x14ac:dyDescent="0.25">
      <c r="A14" s="200"/>
      <c r="B14" s="271"/>
      <c r="C14" s="270"/>
      <c r="L14" s="4"/>
      <c r="M14" s="202"/>
    </row>
    <row r="15" spans="1:13" ht="13.2" customHeight="1" x14ac:dyDescent="0.2">
      <c r="A15" s="200"/>
      <c r="B15" s="272" t="s">
        <v>336</v>
      </c>
      <c r="L15" s="4"/>
      <c r="M15" s="202"/>
    </row>
    <row r="16" spans="1:13" ht="13.2" customHeight="1" x14ac:dyDescent="0.2">
      <c r="A16" s="200"/>
      <c r="B16" s="273" t="str">
        <f>'QUADRO I'!C8</f>
        <v>{IMCORPORADOR}</v>
      </c>
      <c r="L16" s="4"/>
      <c r="M16" s="202"/>
    </row>
    <row r="17" spans="1:13" ht="13.2" customHeight="1" x14ac:dyDescent="0.2">
      <c r="A17" s="200"/>
      <c r="B17" s="272"/>
      <c r="L17" s="4"/>
      <c r="M17" s="202"/>
    </row>
    <row r="18" spans="1:13" ht="13.2" customHeight="1" x14ac:dyDescent="0.2">
      <c r="A18" s="200"/>
      <c r="B18" s="272" t="s">
        <v>337</v>
      </c>
      <c r="L18" s="4"/>
      <c r="M18" s="202"/>
    </row>
    <row r="19" spans="1:13" ht="13.2" customHeight="1" x14ac:dyDescent="0.2">
      <c r="A19" s="200"/>
      <c r="B19" s="273" t="str">
        <f>'QUADRO I'!C8</f>
        <v>{IMCORPORADOR}</v>
      </c>
      <c r="L19" s="4"/>
      <c r="M19" s="202"/>
    </row>
    <row r="20" spans="1:13" ht="13.2" customHeight="1" x14ac:dyDescent="0.2">
      <c r="A20" s="200"/>
      <c r="B20" s="272"/>
      <c r="L20" s="4"/>
      <c r="M20" s="202"/>
    </row>
    <row r="21" spans="1:13" ht="13.2" customHeight="1" x14ac:dyDescent="0.2">
      <c r="A21" s="200"/>
      <c r="B21" s="272" t="s">
        <v>338</v>
      </c>
      <c r="L21" s="4"/>
      <c r="M21" s="202"/>
    </row>
    <row r="22" spans="1:13" ht="13.2" customHeight="1" x14ac:dyDescent="0.25">
      <c r="A22" s="200"/>
      <c r="B22" s="273" t="str">
        <f>'QUADRO I'!N8</f>
        <v>{RESPONSÁVEL TÉCNICO}</v>
      </c>
      <c r="E22" t="str">
        <f>'QUADRO I'!S10</f>
        <v>{CREA}</v>
      </c>
      <c r="L22" s="4"/>
      <c r="M22" s="202"/>
    </row>
    <row r="23" spans="1:13" ht="13.2" customHeight="1" x14ac:dyDescent="0.2">
      <c r="A23" s="200"/>
      <c r="B23" s="272"/>
      <c r="L23" s="4"/>
      <c r="M23" s="202"/>
    </row>
    <row r="24" spans="1:13" ht="13.2" customHeight="1" x14ac:dyDescent="0.2">
      <c r="A24" s="200"/>
      <c r="B24" s="272" t="s">
        <v>339</v>
      </c>
      <c r="L24" s="4"/>
      <c r="M24" s="202"/>
    </row>
    <row r="25" spans="1:13" ht="13.2" customHeight="1" x14ac:dyDescent="0.25">
      <c r="A25" s="200"/>
      <c r="B25" s="482" t="s">
        <v>340</v>
      </c>
      <c r="C25" s="455"/>
      <c r="D25" s="392"/>
      <c r="E25" s="392"/>
      <c r="F25" s="392"/>
      <c r="G25" s="392"/>
      <c r="H25" s="392"/>
      <c r="I25" s="392"/>
      <c r="J25" s="392"/>
      <c r="K25" s="392"/>
      <c r="L25" s="409"/>
      <c r="M25" s="202"/>
    </row>
    <row r="26" spans="1:13" ht="13.2" customHeight="1" x14ac:dyDescent="0.25">
      <c r="A26" s="200"/>
      <c r="B26" s="429"/>
      <c r="C26" s="455"/>
      <c r="D26" s="392"/>
      <c r="E26" s="392"/>
      <c r="F26" s="392"/>
      <c r="G26" s="392"/>
      <c r="H26" s="392"/>
      <c r="I26" s="392"/>
      <c r="J26" s="392"/>
      <c r="K26" s="392"/>
      <c r="L26" s="409"/>
      <c r="M26" s="202"/>
    </row>
    <row r="27" spans="1:13" ht="13.2" customHeight="1" x14ac:dyDescent="0.25">
      <c r="A27" s="200"/>
      <c r="B27" s="479" t="s">
        <v>341</v>
      </c>
      <c r="C27" s="455"/>
      <c r="D27" s="324" t="e">
        <f>'QUADRO II'!F17</f>
        <v>#VALUE!</v>
      </c>
      <c r="E27" s="325" t="s">
        <v>342</v>
      </c>
      <c r="F27" s="326" t="e">
        <f>CAPA!H9</f>
        <v>#DIV/0!</v>
      </c>
      <c r="G27" s="323" t="s">
        <v>343</v>
      </c>
      <c r="K27" s="269"/>
      <c r="L27" s="274"/>
      <c r="M27" s="202"/>
    </row>
    <row r="28" spans="1:13" ht="13.2" customHeight="1" x14ac:dyDescent="0.25">
      <c r="A28" s="200"/>
      <c r="B28" s="479" t="s">
        <v>344</v>
      </c>
      <c r="C28" s="455"/>
      <c r="D28" s="324" t="e">
        <f>'QUADRO II'!#REF!</f>
        <v>#REF!</v>
      </c>
      <c r="E28" s="325" t="s">
        <v>342</v>
      </c>
      <c r="F28" s="326" t="e">
        <f>CAPA!#REF!</f>
        <v>#REF!</v>
      </c>
      <c r="G28" s="323" t="s">
        <v>343</v>
      </c>
      <c r="L28" s="4"/>
      <c r="M28" s="202"/>
    </row>
    <row r="29" spans="1:13" ht="13.2" customHeight="1" x14ac:dyDescent="0.25">
      <c r="A29" s="200"/>
      <c r="B29" s="479" t="s">
        <v>345</v>
      </c>
      <c r="C29" s="455"/>
      <c r="D29" s="324" t="e">
        <f>'QUADRO II'!#REF!</f>
        <v>#REF!</v>
      </c>
      <c r="E29" s="325" t="s">
        <v>342</v>
      </c>
      <c r="F29" s="326" t="e">
        <f>CAPA!#REF!</f>
        <v>#REF!</v>
      </c>
      <c r="G29" s="323" t="s">
        <v>343</v>
      </c>
      <c r="L29" s="4"/>
      <c r="M29" s="202"/>
    </row>
    <row r="30" spans="1:13" ht="13.2" customHeight="1" x14ac:dyDescent="0.25">
      <c r="A30" s="200"/>
      <c r="B30" s="479" t="s">
        <v>346</v>
      </c>
      <c r="C30" s="455"/>
      <c r="D30" s="324" t="e">
        <f>'QUADRO II'!#REF!</f>
        <v>#REF!</v>
      </c>
      <c r="E30" s="325" t="s">
        <v>342</v>
      </c>
      <c r="F30" s="326" t="e">
        <f>CAPA!#REF!</f>
        <v>#REF!</v>
      </c>
      <c r="G30" s="323" t="s">
        <v>343</v>
      </c>
      <c r="L30" s="4"/>
      <c r="M30" s="202"/>
    </row>
    <row r="31" spans="1:13" ht="13.2" customHeight="1" x14ac:dyDescent="0.25">
      <c r="A31" s="200"/>
      <c r="B31" s="479" t="s">
        <v>347</v>
      </c>
      <c r="C31" s="455"/>
      <c r="D31" s="324" t="e">
        <f>'QUADRO II'!#REF!</f>
        <v>#REF!</v>
      </c>
      <c r="E31" s="325" t="s">
        <v>342</v>
      </c>
      <c r="F31" s="326" t="e">
        <f>CAPA!#REF!</f>
        <v>#REF!</v>
      </c>
      <c r="G31" s="323" t="s">
        <v>343</v>
      </c>
      <c r="L31" s="4"/>
      <c r="M31" s="202"/>
    </row>
    <row r="32" spans="1:13" ht="13.2" customHeight="1" x14ac:dyDescent="0.25">
      <c r="A32" s="200"/>
      <c r="B32" s="479" t="s">
        <v>348</v>
      </c>
      <c r="C32" s="455"/>
      <c r="D32" s="324" t="e">
        <f>'QUADRO II'!#REF!</f>
        <v>#REF!</v>
      </c>
      <c r="E32" s="325" t="s">
        <v>342</v>
      </c>
      <c r="F32" s="326" t="e">
        <f>CAPA!#REF!</f>
        <v>#REF!</v>
      </c>
      <c r="G32" s="323" t="s">
        <v>343</v>
      </c>
      <c r="L32" s="4"/>
      <c r="M32" s="202"/>
    </row>
    <row r="33" spans="1:13" ht="13.2" customHeight="1" x14ac:dyDescent="0.25">
      <c r="A33" s="200"/>
      <c r="B33" s="271"/>
      <c r="D33" s="270"/>
      <c r="L33" s="4"/>
      <c r="M33" s="202"/>
    </row>
    <row r="34" spans="1:13" ht="13.2" customHeight="1" x14ac:dyDescent="0.2">
      <c r="A34" s="200"/>
      <c r="B34" s="272" t="s">
        <v>349</v>
      </c>
      <c r="L34" s="4"/>
      <c r="M34" s="202"/>
    </row>
    <row r="35" spans="1:13" ht="13.2" customHeight="1" x14ac:dyDescent="0.25">
      <c r="A35" s="200"/>
      <c r="B35" s="271"/>
      <c r="D35" s="484"/>
      <c r="E35" s="392"/>
      <c r="L35" s="4"/>
      <c r="M35" s="202"/>
    </row>
    <row r="36" spans="1:13" ht="13.2" customHeight="1" x14ac:dyDescent="0.25">
      <c r="A36" s="200"/>
      <c r="B36" s="480" t="s">
        <v>350</v>
      </c>
      <c r="C36" s="337"/>
      <c r="D36" s="337"/>
      <c r="E36" s="337"/>
      <c r="F36" s="338"/>
      <c r="G36" s="483"/>
      <c r="H36" s="337"/>
      <c r="I36" s="337"/>
      <c r="J36" s="337"/>
      <c r="K36" s="338"/>
      <c r="L36" s="4"/>
      <c r="M36" s="202"/>
    </row>
    <row r="37" spans="1:13" ht="13.2" customHeight="1" x14ac:dyDescent="0.25">
      <c r="A37" s="200"/>
      <c r="B37" s="429"/>
      <c r="C37" s="455"/>
      <c r="D37" s="392"/>
      <c r="E37" s="392"/>
      <c r="F37" s="409"/>
      <c r="G37" s="429"/>
      <c r="H37" s="392"/>
      <c r="I37" s="392"/>
      <c r="J37" s="392"/>
      <c r="K37" s="409"/>
      <c r="L37" s="4"/>
      <c r="M37" s="202"/>
    </row>
    <row r="38" spans="1:13" ht="13.2" customHeight="1" x14ac:dyDescent="0.25">
      <c r="A38" s="200"/>
      <c r="B38" s="429"/>
      <c r="C38" s="455"/>
      <c r="D38" s="392"/>
      <c r="E38" s="392"/>
      <c r="F38" s="409"/>
      <c r="G38" s="429"/>
      <c r="H38" s="392"/>
      <c r="I38" s="392"/>
      <c r="J38" s="392"/>
      <c r="K38" s="409"/>
      <c r="L38" s="4"/>
      <c r="M38" s="202"/>
    </row>
    <row r="39" spans="1:13" ht="13.2" customHeight="1" x14ac:dyDescent="0.25">
      <c r="A39" s="200"/>
      <c r="B39" s="339"/>
      <c r="C39" s="340"/>
      <c r="D39" s="340"/>
      <c r="E39" s="340"/>
      <c r="F39" s="341"/>
      <c r="G39" s="339"/>
      <c r="H39" s="340"/>
      <c r="I39" s="340"/>
      <c r="J39" s="340"/>
      <c r="K39" s="341"/>
      <c r="L39" s="4"/>
      <c r="M39" s="202"/>
    </row>
    <row r="40" spans="1:13" ht="13.2" customHeight="1" x14ac:dyDescent="0.25">
      <c r="A40" s="200"/>
      <c r="B40" s="12"/>
      <c r="C40" s="1"/>
      <c r="L40" s="4"/>
      <c r="M40" s="202"/>
    </row>
    <row r="41" spans="1:13" ht="13.2" customHeight="1" x14ac:dyDescent="0.25">
      <c r="A41" s="200"/>
      <c r="B41" s="275"/>
      <c r="C41" s="2"/>
      <c r="D41" s="2"/>
      <c r="E41" s="2"/>
      <c r="F41" s="2"/>
      <c r="G41" s="2"/>
      <c r="H41" s="2"/>
      <c r="I41" s="2"/>
      <c r="J41" s="2"/>
      <c r="K41" s="2"/>
      <c r="L41" s="3"/>
      <c r="M41" s="202"/>
    </row>
    <row r="42" spans="1:13" ht="10.199999999999999" customHeight="1" thickBot="1" x14ac:dyDescent="0.3">
      <c r="A42" s="203"/>
      <c r="B42" s="276"/>
      <c r="C42" s="276"/>
      <c r="D42" s="251"/>
      <c r="E42" s="251"/>
      <c r="F42" s="251"/>
      <c r="G42" s="251"/>
      <c r="H42" s="251"/>
      <c r="I42" s="251"/>
      <c r="J42" s="251"/>
      <c r="K42" s="251"/>
      <c r="L42" s="251"/>
      <c r="M42" s="204"/>
    </row>
    <row r="43" spans="1:13" ht="10.8" customHeight="1" thickTop="1" x14ac:dyDescent="0.25"/>
  </sheetData>
  <mergeCells count="20">
    <mergeCell ref="B2:L2"/>
    <mergeCell ref="B36:F39"/>
    <mergeCell ref="B1:L1"/>
    <mergeCell ref="B29:C29"/>
    <mergeCell ref="H7:L7"/>
    <mergeCell ref="B28:C28"/>
    <mergeCell ref="B25:L26"/>
    <mergeCell ref="B7:G7"/>
    <mergeCell ref="B30:C30"/>
    <mergeCell ref="G36:K39"/>
    <mergeCell ref="B32:C32"/>
    <mergeCell ref="B4:I4"/>
    <mergeCell ref="D35:E35"/>
    <mergeCell ref="D5:I6"/>
    <mergeCell ref="J10:K10"/>
    <mergeCell ref="B3:L3"/>
    <mergeCell ref="J4:L4"/>
    <mergeCell ref="B31:C31"/>
    <mergeCell ref="B27:C27"/>
    <mergeCell ref="B5:C6"/>
  </mergeCells>
  <printOptions horizontalCentered="1" verticalCentered="1"/>
  <pageMargins left="0.59055118110236227" right="0.59055118110236227" top="0.59055118110236227" bottom="0.59055118110236227" header="0" footer="0"/>
  <pageSetup paperSize="9" scale="9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2"/>
  <sheetViews>
    <sheetView showZeros="0" workbookViewId="0">
      <selection activeCell="AC13" sqref="AC13"/>
    </sheetView>
  </sheetViews>
  <sheetFormatPr defaultColWidth="1.6640625" defaultRowHeight="10.199999999999999" x14ac:dyDescent="0.25"/>
  <cols>
    <col min="1" max="1" width="1.6640625" style="1" customWidth="1"/>
    <col min="2" max="2" width="12" style="1" customWidth="1"/>
    <col min="3" max="3" width="10.6640625" style="1" customWidth="1"/>
    <col min="4" max="4" width="12" style="1" customWidth="1"/>
    <col min="5" max="5" width="7" style="1" customWidth="1"/>
    <col min="6" max="6" width="12" style="1" customWidth="1"/>
    <col min="7" max="7" width="20" style="1" customWidth="1"/>
    <col min="8" max="10" width="12" style="1" customWidth="1"/>
    <col min="11" max="11" width="7.44140625" style="1" customWidth="1"/>
    <col min="12" max="12" width="12" style="1" customWidth="1"/>
    <col min="13" max="14" width="1.6640625" style="1" customWidth="1"/>
    <col min="15" max="16384" width="1.6640625" style="1"/>
  </cols>
  <sheetData>
    <row r="1" spans="1:13" ht="10.199999999999999" customHeight="1" thickTop="1" x14ac:dyDescent="0.25">
      <c r="A1" s="198"/>
      <c r="B1" s="355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199"/>
    </row>
    <row r="2" spans="1:13" ht="13.2" customHeight="1" x14ac:dyDescent="0.25">
      <c r="A2" s="200"/>
      <c r="B2" s="354" t="s">
        <v>0</v>
      </c>
      <c r="C2" s="337"/>
      <c r="D2" s="337"/>
      <c r="E2" s="337"/>
      <c r="F2" s="337"/>
      <c r="G2" s="337"/>
      <c r="H2" s="337"/>
      <c r="I2" s="337"/>
      <c r="J2" s="337"/>
      <c r="K2" s="337"/>
      <c r="L2" s="338"/>
      <c r="M2" s="202"/>
    </row>
    <row r="3" spans="1:13" ht="13.2" customHeight="1" x14ac:dyDescent="0.25">
      <c r="A3" s="200"/>
      <c r="B3" s="346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1"/>
      <c r="M3" s="202"/>
    </row>
    <row r="4" spans="1:13" ht="13.2" customHeight="1" x14ac:dyDescent="0.25">
      <c r="A4" s="200"/>
      <c r="B4" s="360" t="s">
        <v>2</v>
      </c>
      <c r="C4" s="344"/>
      <c r="D4" s="344"/>
      <c r="E4" s="344"/>
      <c r="F4" s="344"/>
      <c r="G4" s="344"/>
      <c r="H4" s="344"/>
      <c r="I4" s="334"/>
      <c r="J4" s="259" t="s">
        <v>3</v>
      </c>
      <c r="K4" s="277">
        <f>('QUADRO V'!K6)+1</f>
        <v>8</v>
      </c>
      <c r="L4" s="289"/>
      <c r="M4" s="202"/>
    </row>
    <row r="5" spans="1:13" ht="13.2" customHeight="1" x14ac:dyDescent="0.25">
      <c r="A5" s="200"/>
      <c r="B5" s="353" t="s">
        <v>4</v>
      </c>
      <c r="C5" s="338"/>
      <c r="D5" s="336" t="str">
        <f>('QUADRO I'!$D$5)</f>
        <v>{RUA}, {COMPLEMENTO}; {SETOR} - {CIDADE}</v>
      </c>
      <c r="E5" s="337"/>
      <c r="F5" s="337"/>
      <c r="G5" s="337"/>
      <c r="H5" s="337"/>
      <c r="I5" s="338"/>
      <c r="J5" s="362" t="s">
        <v>5</v>
      </c>
      <c r="K5" s="344"/>
      <c r="L5" s="334"/>
      <c r="M5" s="202"/>
    </row>
    <row r="6" spans="1:13" ht="13.2" customHeight="1" x14ac:dyDescent="0.25">
      <c r="A6" s="200"/>
      <c r="B6" s="339"/>
      <c r="C6" s="341"/>
      <c r="D6" s="339"/>
      <c r="E6" s="340"/>
      <c r="F6" s="340"/>
      <c r="G6" s="340"/>
      <c r="H6" s="340"/>
      <c r="I6" s="341"/>
      <c r="J6" s="49" t="s">
        <v>6</v>
      </c>
      <c r="K6" s="74">
        <f>('QUADRO I'!$R$6)</f>
        <v>10</v>
      </c>
      <c r="L6" s="290"/>
      <c r="M6" s="202"/>
    </row>
    <row r="7" spans="1:13" ht="13.2" customHeight="1" x14ac:dyDescent="0.25">
      <c r="A7" s="200"/>
      <c r="B7" s="360" t="s">
        <v>7</v>
      </c>
      <c r="C7" s="344"/>
      <c r="D7" s="344"/>
      <c r="E7" s="344"/>
      <c r="F7" s="344"/>
      <c r="G7" s="334"/>
      <c r="H7" s="360" t="s">
        <v>8</v>
      </c>
      <c r="I7" s="344"/>
      <c r="J7" s="344"/>
      <c r="K7" s="344"/>
      <c r="L7" s="334"/>
      <c r="M7" s="278"/>
    </row>
    <row r="8" spans="1:13" ht="13.2" customHeight="1" x14ac:dyDescent="0.25">
      <c r="A8" s="200"/>
      <c r="B8" s="79" t="s">
        <v>9</v>
      </c>
      <c r="C8" s="313" t="str">
        <f>('QUADRO I'!$C$8)</f>
        <v>{IMCORPORADOR}</v>
      </c>
      <c r="D8" s="27"/>
      <c r="E8" s="27"/>
      <c r="F8" s="27"/>
      <c r="G8" s="28"/>
      <c r="H8" s="19" t="s">
        <v>9</v>
      </c>
      <c r="I8" s="313" t="str">
        <f>('QUADRO I'!$N$8)</f>
        <v>{RESPONSÁVEL TÉCNICO}</v>
      </c>
      <c r="J8" s="27"/>
      <c r="K8" s="27"/>
      <c r="L8" s="28"/>
      <c r="M8" s="202"/>
    </row>
    <row r="9" spans="1:13" ht="13.2" customHeight="1" x14ac:dyDescent="0.25">
      <c r="A9" s="200"/>
      <c r="B9" s="9" t="s">
        <v>10</v>
      </c>
      <c r="G9" s="4"/>
      <c r="H9" s="10" t="s">
        <v>10</v>
      </c>
      <c r="L9" s="4"/>
      <c r="M9" s="202"/>
    </row>
    <row r="10" spans="1:13" ht="13.2" customHeight="1" x14ac:dyDescent="0.25">
      <c r="A10" s="200"/>
      <c r="B10" s="5" t="s">
        <v>11</v>
      </c>
      <c r="C10" s="165" t="str">
        <f>('QUADRO I'!$C$10)</f>
        <v>{DATA HOJE}</v>
      </c>
      <c r="D10" s="2"/>
      <c r="E10" s="2"/>
      <c r="F10" s="2"/>
      <c r="G10" s="3"/>
      <c r="H10" s="11" t="s">
        <v>11</v>
      </c>
      <c r="I10" s="165" t="str">
        <f>('QUADRO I'!$N$10)</f>
        <v>{DATA HOJE}</v>
      </c>
      <c r="J10" s="345" t="str">
        <f>('QUADRO I'!$Q$10)</f>
        <v>Registro no CREA:</v>
      </c>
      <c r="K10" s="340"/>
      <c r="L10" s="114" t="str">
        <f>('QUADRO I'!$S$10)</f>
        <v>{CREA}</v>
      </c>
      <c r="M10" s="213"/>
    </row>
    <row r="11" spans="1:13" s="10" customFormat="1" ht="8.25" customHeight="1" thickBot="1" x14ac:dyDescent="0.3">
      <c r="A11" s="249"/>
      <c r="B11" s="9"/>
      <c r="L11" s="13"/>
      <c r="M11" s="201"/>
    </row>
    <row r="12" spans="1:13" ht="19.5" customHeight="1" thickBot="1" x14ac:dyDescent="0.3">
      <c r="A12" s="200"/>
      <c r="B12" s="347" t="s">
        <v>12</v>
      </c>
      <c r="C12" s="348"/>
      <c r="D12" s="349" t="s">
        <v>13</v>
      </c>
      <c r="E12" s="348"/>
      <c r="F12" s="349" t="s">
        <v>14</v>
      </c>
      <c r="G12" s="348"/>
      <c r="H12" s="349" t="s">
        <v>15</v>
      </c>
      <c r="I12" s="363"/>
      <c r="J12" s="363"/>
      <c r="K12" s="363"/>
      <c r="L12" s="348"/>
      <c r="M12" s="202"/>
    </row>
    <row r="13" spans="1:13" ht="39.9" customHeight="1" x14ac:dyDescent="0.25">
      <c r="A13" s="200"/>
      <c r="B13" s="357" t="s">
        <v>16</v>
      </c>
      <c r="C13" s="341"/>
      <c r="D13" s="352" t="s">
        <v>17</v>
      </c>
      <c r="E13" s="341"/>
      <c r="F13" s="352" t="s">
        <v>18</v>
      </c>
      <c r="G13" s="341"/>
      <c r="H13" s="361" t="s">
        <v>19</v>
      </c>
      <c r="I13" s="340"/>
      <c r="J13" s="340"/>
      <c r="K13" s="340"/>
      <c r="L13" s="341"/>
      <c r="M13" s="202"/>
    </row>
    <row r="14" spans="1:13" ht="39.9" customHeight="1" x14ac:dyDescent="0.25">
      <c r="A14" s="200"/>
      <c r="B14" s="335" t="s">
        <v>20</v>
      </c>
      <c r="C14" s="334"/>
      <c r="D14" s="342" t="s">
        <v>17</v>
      </c>
      <c r="E14" s="334"/>
      <c r="F14" s="342" t="s">
        <v>21</v>
      </c>
      <c r="G14" s="334"/>
      <c r="H14" s="359"/>
      <c r="I14" s="344"/>
      <c r="J14" s="344"/>
      <c r="K14" s="344"/>
      <c r="L14" s="334"/>
      <c r="M14" s="202"/>
    </row>
    <row r="15" spans="1:13" ht="39.9" customHeight="1" x14ac:dyDescent="0.25">
      <c r="A15" s="200"/>
      <c r="B15" s="335" t="s">
        <v>22</v>
      </c>
      <c r="C15" s="334"/>
      <c r="D15" s="342" t="s">
        <v>17</v>
      </c>
      <c r="E15" s="334"/>
      <c r="F15" s="342" t="s">
        <v>18</v>
      </c>
      <c r="G15" s="334"/>
      <c r="H15" s="359"/>
      <c r="I15" s="344"/>
      <c r="J15" s="344"/>
      <c r="K15" s="344"/>
      <c r="L15" s="334"/>
      <c r="M15" s="202"/>
    </row>
    <row r="16" spans="1:13" ht="39.9" customHeight="1" x14ac:dyDescent="0.25">
      <c r="A16" s="200"/>
      <c r="B16" s="335" t="s">
        <v>23</v>
      </c>
      <c r="C16" s="334"/>
      <c r="D16" s="358" t="s">
        <v>24</v>
      </c>
      <c r="E16" s="334"/>
      <c r="F16" s="333" t="s">
        <v>25</v>
      </c>
      <c r="G16" s="334"/>
      <c r="H16" s="359"/>
      <c r="I16" s="344"/>
      <c r="J16" s="344"/>
      <c r="K16" s="344"/>
      <c r="L16" s="334"/>
      <c r="M16" s="202"/>
    </row>
    <row r="17" spans="1:13" ht="39.9" customHeight="1" x14ac:dyDescent="0.25">
      <c r="A17" s="200"/>
      <c r="B17" s="335" t="s">
        <v>26</v>
      </c>
      <c r="C17" s="334"/>
      <c r="D17" s="342" t="s">
        <v>27</v>
      </c>
      <c r="E17" s="334"/>
      <c r="F17" s="342" t="s">
        <v>28</v>
      </c>
      <c r="G17" s="334"/>
      <c r="H17" s="359"/>
      <c r="I17" s="344"/>
      <c r="J17" s="344"/>
      <c r="K17" s="344"/>
      <c r="L17" s="334"/>
      <c r="M17" s="202"/>
    </row>
    <row r="18" spans="1:13" ht="39.9" customHeight="1" x14ac:dyDescent="0.25">
      <c r="A18" s="200"/>
      <c r="B18" s="335" t="s">
        <v>29</v>
      </c>
      <c r="C18" s="334"/>
      <c r="D18" s="342" t="s">
        <v>30</v>
      </c>
      <c r="E18" s="334"/>
      <c r="F18" s="342" t="s">
        <v>30</v>
      </c>
      <c r="G18" s="334"/>
      <c r="H18" s="359"/>
      <c r="I18" s="344"/>
      <c r="J18" s="344"/>
      <c r="K18" s="344"/>
      <c r="L18" s="334"/>
      <c r="M18" s="202"/>
    </row>
    <row r="19" spans="1:13" ht="39.9" customHeight="1" x14ac:dyDescent="0.25">
      <c r="A19" s="200"/>
      <c r="B19" s="335" t="s">
        <v>31</v>
      </c>
      <c r="C19" s="334"/>
      <c r="D19" s="342" t="s">
        <v>17</v>
      </c>
      <c r="E19" s="334"/>
      <c r="F19" s="342" t="s">
        <v>32</v>
      </c>
      <c r="G19" s="334"/>
      <c r="H19" s="343"/>
      <c r="I19" s="344"/>
      <c r="J19" s="344"/>
      <c r="K19" s="344"/>
      <c r="L19" s="334"/>
      <c r="M19" s="202"/>
    </row>
    <row r="20" spans="1:13" ht="39.9" customHeight="1" x14ac:dyDescent="0.25">
      <c r="A20" s="200"/>
      <c r="B20" s="335" t="s">
        <v>33</v>
      </c>
      <c r="C20" s="334"/>
      <c r="D20" s="333" t="s">
        <v>34</v>
      </c>
      <c r="E20" s="334"/>
      <c r="F20" s="333" t="s">
        <v>35</v>
      </c>
      <c r="G20" s="334"/>
      <c r="H20" s="343"/>
      <c r="I20" s="344"/>
      <c r="J20" s="344"/>
      <c r="K20" s="344"/>
      <c r="L20" s="334"/>
      <c r="M20" s="202"/>
    </row>
    <row r="21" spans="1:13" ht="10.199999999999999" customHeight="1" thickBot="1" x14ac:dyDescent="0.3">
      <c r="A21" s="203"/>
      <c r="B21" s="350"/>
      <c r="C21" s="351"/>
      <c r="D21" s="351"/>
      <c r="E21" s="351"/>
      <c r="F21" s="351"/>
      <c r="G21" s="351"/>
      <c r="H21" s="351"/>
      <c r="I21" s="351"/>
      <c r="J21" s="351"/>
      <c r="K21" s="351"/>
      <c r="L21" s="351"/>
      <c r="M21" s="204"/>
    </row>
    <row r="22" spans="1:13" ht="10.199999999999999" customHeight="1" thickTop="1" x14ac:dyDescent="0.25"/>
  </sheetData>
  <mergeCells count="47">
    <mergeCell ref="B1:L1"/>
    <mergeCell ref="B13:C13"/>
    <mergeCell ref="D16:E16"/>
    <mergeCell ref="H17:L17"/>
    <mergeCell ref="H7:L7"/>
    <mergeCell ref="H16:L16"/>
    <mergeCell ref="H13:L13"/>
    <mergeCell ref="F13:G13"/>
    <mergeCell ref="B7:G7"/>
    <mergeCell ref="D12:E12"/>
    <mergeCell ref="J5:L5"/>
    <mergeCell ref="B15:C15"/>
    <mergeCell ref="H12:L12"/>
    <mergeCell ref="D15:E15"/>
    <mergeCell ref="H15:L15"/>
    <mergeCell ref="D14:E14"/>
    <mergeCell ref="B2:L2"/>
    <mergeCell ref="F20:G20"/>
    <mergeCell ref="B14:C14"/>
    <mergeCell ref="B17:C17"/>
    <mergeCell ref="D17:E17"/>
    <mergeCell ref="F17:G17"/>
    <mergeCell ref="B19:C19"/>
    <mergeCell ref="D18:E18"/>
    <mergeCell ref="H19:L19"/>
    <mergeCell ref="B20:C20"/>
    <mergeCell ref="H18:L18"/>
    <mergeCell ref="H14:L14"/>
    <mergeCell ref="F14:G14"/>
    <mergeCell ref="B4:I4"/>
    <mergeCell ref="B3:L3"/>
    <mergeCell ref="B18:C18"/>
    <mergeCell ref="B12:C12"/>
    <mergeCell ref="F12:G12"/>
    <mergeCell ref="B21:L21"/>
    <mergeCell ref="F15:G15"/>
    <mergeCell ref="D13:E13"/>
    <mergeCell ref="B5:C6"/>
    <mergeCell ref="F18:G18"/>
    <mergeCell ref="D20:E20"/>
    <mergeCell ref="B16:C16"/>
    <mergeCell ref="D5:I6"/>
    <mergeCell ref="F16:G16"/>
    <mergeCell ref="D19:E19"/>
    <mergeCell ref="H20:L20"/>
    <mergeCell ref="F19:G19"/>
    <mergeCell ref="J10:K10"/>
  </mergeCells>
  <printOptions horizontalCentered="1" verticalCentered="1"/>
  <pageMargins left="0.59055118110236227" right="0.59055118110236227" top="0.59055118110236227" bottom="0.59055118110236227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09"/>
  <sheetViews>
    <sheetView showZeros="0" workbookViewId="0">
      <selection activeCell="H8" sqref="H8:L10"/>
    </sheetView>
  </sheetViews>
  <sheetFormatPr defaultColWidth="1.6640625" defaultRowHeight="9.9" customHeight="1" x14ac:dyDescent="0.25"/>
  <cols>
    <col min="1" max="1" width="1.6640625" style="1" customWidth="1"/>
    <col min="2" max="9" width="12" style="1" customWidth="1"/>
    <col min="10" max="10" width="10.109375" style="1" customWidth="1"/>
    <col min="11" max="12" width="12" style="1" customWidth="1"/>
    <col min="13" max="14" width="1.6640625" style="1" customWidth="1"/>
    <col min="15" max="16384" width="1.6640625" style="1"/>
  </cols>
  <sheetData>
    <row r="1" spans="1:13" ht="10.199999999999999" customHeight="1" thickTop="1" x14ac:dyDescent="0.25">
      <c r="A1" s="198"/>
      <c r="B1" s="355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199"/>
    </row>
    <row r="2" spans="1:13" ht="12.9" customHeight="1" x14ac:dyDescent="0.25">
      <c r="A2" s="200"/>
      <c r="B2" s="354" t="s">
        <v>0</v>
      </c>
      <c r="C2" s="337"/>
      <c r="D2" s="337"/>
      <c r="E2" s="337"/>
      <c r="F2" s="337"/>
      <c r="G2" s="337"/>
      <c r="H2" s="337"/>
      <c r="I2" s="337"/>
      <c r="J2" s="337"/>
      <c r="K2" s="337"/>
      <c r="L2" s="338"/>
      <c r="M2" s="282"/>
    </row>
    <row r="3" spans="1:13" ht="12.9" customHeight="1" x14ac:dyDescent="0.25">
      <c r="A3" s="200"/>
      <c r="B3" s="346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1"/>
      <c r="M3" s="282"/>
    </row>
    <row r="4" spans="1:13" ht="12.9" customHeight="1" x14ac:dyDescent="0.25">
      <c r="A4" s="200"/>
      <c r="B4" s="360" t="s">
        <v>351</v>
      </c>
      <c r="C4" s="344"/>
      <c r="D4" s="344"/>
      <c r="E4" s="344"/>
      <c r="F4" s="344"/>
      <c r="G4" s="344"/>
      <c r="H4" s="344"/>
      <c r="I4" s="334"/>
      <c r="J4" s="259" t="s">
        <v>3</v>
      </c>
      <c r="K4" s="277">
        <f>('QUADRO VI'!K4)+1</f>
        <v>9</v>
      </c>
      <c r="L4" s="289"/>
      <c r="M4" s="283"/>
    </row>
    <row r="5" spans="1:13" ht="13.2" customHeight="1" x14ac:dyDescent="0.25">
      <c r="A5" s="200"/>
      <c r="B5" s="353" t="s">
        <v>4</v>
      </c>
      <c r="C5" s="338"/>
      <c r="D5" s="336" t="str">
        <f>('QUADRO I'!$D$5)</f>
        <v>{RUA}, {COMPLEMENTO}; {SETOR} - {CIDADE}</v>
      </c>
      <c r="E5" s="337"/>
      <c r="F5" s="337"/>
      <c r="G5" s="337"/>
      <c r="H5" s="337"/>
      <c r="I5" s="338"/>
      <c r="J5" s="362" t="s">
        <v>5</v>
      </c>
      <c r="K5" s="344"/>
      <c r="L5" s="334"/>
      <c r="M5" s="213"/>
    </row>
    <row r="6" spans="1:13" ht="13.2" customHeight="1" x14ac:dyDescent="0.25">
      <c r="A6" s="200"/>
      <c r="B6" s="339"/>
      <c r="C6" s="341"/>
      <c r="D6" s="339"/>
      <c r="E6" s="340"/>
      <c r="F6" s="340"/>
      <c r="G6" s="340"/>
      <c r="H6" s="340"/>
      <c r="I6" s="341"/>
      <c r="J6" s="49" t="s">
        <v>6</v>
      </c>
      <c r="K6" s="74">
        <f>('QUADRO I'!$R$6)</f>
        <v>10</v>
      </c>
      <c r="L6" s="290"/>
      <c r="M6" s="213"/>
    </row>
    <row r="7" spans="1:13" ht="13.2" customHeight="1" x14ac:dyDescent="0.25">
      <c r="A7" s="200"/>
      <c r="B7" s="360" t="s">
        <v>7</v>
      </c>
      <c r="C7" s="344"/>
      <c r="D7" s="344"/>
      <c r="E7" s="344"/>
      <c r="F7" s="344"/>
      <c r="G7" s="334"/>
      <c r="H7" s="360" t="s">
        <v>8</v>
      </c>
      <c r="I7" s="344"/>
      <c r="J7" s="344"/>
      <c r="K7" s="344"/>
      <c r="L7" s="334"/>
      <c r="M7" s="278"/>
    </row>
    <row r="8" spans="1:13" ht="13.2" customHeight="1" x14ac:dyDescent="0.25">
      <c r="A8" s="200"/>
      <c r="B8" s="79" t="s">
        <v>9</v>
      </c>
      <c r="C8" s="313" t="str">
        <f>('QUADRO I'!$C$8)</f>
        <v>{IMCORPORADOR}</v>
      </c>
      <c r="D8" s="27"/>
      <c r="E8" s="27"/>
      <c r="F8" s="27"/>
      <c r="G8" s="28"/>
      <c r="H8" s="19" t="s">
        <v>9</v>
      </c>
      <c r="I8" s="313" t="str">
        <f>('QUADRO I'!$N$8)</f>
        <v>{RESPONSÁVEL TÉCNICO}</v>
      </c>
      <c r="J8" s="27"/>
      <c r="K8" s="27"/>
      <c r="L8" s="28"/>
      <c r="M8" s="202"/>
    </row>
    <row r="9" spans="1:13" ht="13.2" customHeight="1" x14ac:dyDescent="0.25">
      <c r="A9" s="200"/>
      <c r="B9" s="9" t="s">
        <v>10</v>
      </c>
      <c r="G9" s="4"/>
      <c r="H9" s="10" t="s">
        <v>10</v>
      </c>
      <c r="L9" s="4"/>
      <c r="M9" s="202"/>
    </row>
    <row r="10" spans="1:13" ht="13.2" customHeight="1" x14ac:dyDescent="0.25">
      <c r="A10" s="200"/>
      <c r="B10" s="5" t="s">
        <v>11</v>
      </c>
      <c r="C10" s="165" t="str">
        <f>('QUADRO I'!$C$10)</f>
        <v>{DATA HOJE}</v>
      </c>
      <c r="D10" s="2"/>
      <c r="E10" s="2"/>
      <c r="F10" s="2"/>
      <c r="G10" s="3"/>
      <c r="H10" s="11" t="s">
        <v>11</v>
      </c>
      <c r="I10" s="165" t="str">
        <f>('QUADRO I'!$N$10)</f>
        <v>{DATA HOJE}</v>
      </c>
      <c r="J10" s="345" t="str">
        <f>('QUADRO I'!$Q$10)</f>
        <v>Registro no CREA:</v>
      </c>
      <c r="K10" s="340"/>
      <c r="L10" s="114" t="str">
        <f>('QUADRO I'!$S$10)</f>
        <v>{CREA}</v>
      </c>
      <c r="M10" s="213"/>
    </row>
    <row r="11" spans="1:13" s="10" customFormat="1" ht="12" customHeight="1" thickBot="1" x14ac:dyDescent="0.3">
      <c r="A11" s="249"/>
      <c r="B11" s="9"/>
      <c r="L11" s="13"/>
      <c r="M11" s="284"/>
    </row>
    <row r="12" spans="1:13" s="25" customFormat="1" ht="20.25" customHeight="1" thickBot="1" x14ac:dyDescent="0.3">
      <c r="A12" s="285"/>
      <c r="B12" s="347" t="s">
        <v>352</v>
      </c>
      <c r="C12" s="348"/>
      <c r="D12" s="349" t="s">
        <v>353</v>
      </c>
      <c r="E12" s="363"/>
      <c r="F12" s="348"/>
      <c r="G12" s="349" t="s">
        <v>354</v>
      </c>
      <c r="H12" s="363"/>
      <c r="I12" s="348"/>
      <c r="J12" s="349" t="s">
        <v>355</v>
      </c>
      <c r="K12" s="348"/>
      <c r="L12" s="291" t="s">
        <v>356</v>
      </c>
      <c r="M12" s="286"/>
    </row>
    <row r="13" spans="1:13" s="25" customFormat="1" ht="39.9" customHeight="1" x14ac:dyDescent="0.25">
      <c r="A13" s="285"/>
      <c r="B13" s="492" t="s">
        <v>357</v>
      </c>
      <c r="C13" s="488"/>
      <c r="D13" s="486" t="s">
        <v>358</v>
      </c>
      <c r="E13" s="487"/>
      <c r="F13" s="488"/>
      <c r="G13" s="486" t="s">
        <v>359</v>
      </c>
      <c r="H13" s="487"/>
      <c r="I13" s="488"/>
      <c r="J13" s="486" t="s">
        <v>360</v>
      </c>
      <c r="K13" s="488"/>
      <c r="L13" s="279"/>
      <c r="M13" s="286"/>
    </row>
    <row r="14" spans="1:13" s="25" customFormat="1" ht="39.9" customHeight="1" x14ac:dyDescent="0.25">
      <c r="A14" s="285"/>
      <c r="B14" s="485" t="s">
        <v>197</v>
      </c>
      <c r="C14" s="409"/>
      <c r="D14" s="489" t="s">
        <v>358</v>
      </c>
      <c r="E14" s="491"/>
      <c r="F14" s="409"/>
      <c r="G14" s="489" t="s">
        <v>359</v>
      </c>
      <c r="H14" s="491"/>
      <c r="I14" s="409"/>
      <c r="J14" s="489" t="s">
        <v>360</v>
      </c>
      <c r="K14" s="409"/>
      <c r="L14" s="280"/>
      <c r="M14" s="286"/>
    </row>
    <row r="15" spans="1:13" s="25" customFormat="1" ht="39.9" customHeight="1" x14ac:dyDescent="0.25">
      <c r="A15" s="285"/>
      <c r="B15" s="485" t="s">
        <v>361</v>
      </c>
      <c r="C15" s="409"/>
      <c r="D15" s="489" t="s">
        <v>358</v>
      </c>
      <c r="E15" s="491"/>
      <c r="F15" s="409"/>
      <c r="G15" s="489" t="s">
        <v>362</v>
      </c>
      <c r="H15" s="491"/>
      <c r="I15" s="409"/>
      <c r="J15" s="489" t="s">
        <v>360</v>
      </c>
      <c r="K15" s="409"/>
      <c r="L15" s="280"/>
      <c r="M15" s="286"/>
    </row>
    <row r="16" spans="1:13" s="25" customFormat="1" ht="39.9" customHeight="1" x14ac:dyDescent="0.25">
      <c r="A16" s="285"/>
      <c r="B16" s="485" t="s">
        <v>363</v>
      </c>
      <c r="C16" s="409"/>
      <c r="D16" s="489" t="s">
        <v>358</v>
      </c>
      <c r="E16" s="491"/>
      <c r="F16" s="409"/>
      <c r="G16" s="489" t="s">
        <v>362</v>
      </c>
      <c r="H16" s="491"/>
      <c r="I16" s="409"/>
      <c r="J16" s="489" t="s">
        <v>360</v>
      </c>
      <c r="K16" s="409"/>
      <c r="L16" s="280"/>
      <c r="M16" s="286"/>
    </row>
    <row r="17" spans="1:13" s="25" customFormat="1" ht="39.9" customHeight="1" x14ac:dyDescent="0.25">
      <c r="A17" s="285"/>
      <c r="B17" s="485" t="s">
        <v>364</v>
      </c>
      <c r="C17" s="409"/>
      <c r="D17" s="489" t="s">
        <v>358</v>
      </c>
      <c r="E17" s="491"/>
      <c r="F17" s="409"/>
      <c r="G17" s="489" t="s">
        <v>365</v>
      </c>
      <c r="H17" s="491"/>
      <c r="I17" s="409"/>
      <c r="J17" s="489" t="s">
        <v>360</v>
      </c>
      <c r="K17" s="409"/>
      <c r="L17" s="280"/>
      <c r="M17" s="286"/>
    </row>
    <row r="18" spans="1:13" s="25" customFormat="1" ht="39.9" customHeight="1" x14ac:dyDescent="0.25">
      <c r="A18" s="285"/>
      <c r="B18" s="357" t="s">
        <v>366</v>
      </c>
      <c r="C18" s="341"/>
      <c r="D18" s="489" t="s">
        <v>358</v>
      </c>
      <c r="E18" s="491"/>
      <c r="F18" s="409"/>
      <c r="G18" s="490" t="s">
        <v>362</v>
      </c>
      <c r="H18" s="340"/>
      <c r="I18" s="341"/>
      <c r="J18" s="490" t="s">
        <v>360</v>
      </c>
      <c r="K18" s="341"/>
      <c r="L18" s="281"/>
      <c r="M18" s="286"/>
    </row>
    <row r="19" spans="1:13" s="25" customFormat="1" ht="10.199999999999999" customHeight="1" thickBot="1" x14ac:dyDescent="0.3">
      <c r="A19" s="287"/>
      <c r="B19" s="493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288"/>
    </row>
    <row r="20" spans="1:13" ht="10.199999999999999" customHeight="1" thickTop="1" x14ac:dyDescent="0.25"/>
    <row r="21" spans="1:13" ht="10.199999999999999" customHeight="1" x14ac:dyDescent="0.25"/>
    <row r="22" spans="1:13" ht="10.199999999999999" customHeight="1" x14ac:dyDescent="0.25"/>
    <row r="23" spans="1:13" ht="10.199999999999999" customHeight="1" x14ac:dyDescent="0.25"/>
    <row r="24" spans="1:13" ht="10.199999999999999" customHeight="1" x14ac:dyDescent="0.25"/>
    <row r="25" spans="1:13" ht="10.199999999999999" customHeight="1" x14ac:dyDescent="0.25"/>
    <row r="26" spans="1:13" ht="10.199999999999999" customHeight="1" x14ac:dyDescent="0.25"/>
    <row r="27" spans="1:13" ht="10.199999999999999" customHeight="1" x14ac:dyDescent="0.25"/>
    <row r="28" spans="1:13" ht="10.199999999999999" customHeight="1" x14ac:dyDescent="0.25"/>
    <row r="29" spans="1:13" ht="10.199999999999999" customHeight="1" x14ac:dyDescent="0.25"/>
    <row r="30" spans="1:13" ht="10.199999999999999" customHeight="1" x14ac:dyDescent="0.25"/>
    <row r="31" spans="1:13" ht="10.199999999999999" customHeight="1" x14ac:dyDescent="0.25"/>
    <row r="32" spans="1:13" ht="10.199999999999999" customHeight="1" x14ac:dyDescent="0.25"/>
    <row r="33" ht="10.199999999999999" customHeight="1" x14ac:dyDescent="0.25"/>
    <row r="34" ht="10.199999999999999" customHeight="1" x14ac:dyDescent="0.25"/>
    <row r="35" ht="10.199999999999999" customHeight="1" x14ac:dyDescent="0.25"/>
    <row r="36" ht="10.199999999999999" customHeight="1" x14ac:dyDescent="0.25"/>
    <row r="37" ht="10.199999999999999" customHeight="1" x14ac:dyDescent="0.25"/>
    <row r="38" ht="10.199999999999999" customHeight="1" x14ac:dyDescent="0.25"/>
    <row r="39" ht="10.199999999999999" customHeight="1" x14ac:dyDescent="0.25"/>
    <row r="40" ht="10.199999999999999" customHeight="1" x14ac:dyDescent="0.25"/>
    <row r="41" ht="10.199999999999999" customHeight="1" x14ac:dyDescent="0.25"/>
    <row r="42" ht="10.199999999999999" customHeight="1" x14ac:dyDescent="0.25"/>
    <row r="43" ht="10.199999999999999" customHeight="1" x14ac:dyDescent="0.25"/>
    <row r="44" ht="10.199999999999999" customHeight="1" x14ac:dyDescent="0.25"/>
    <row r="45" ht="10.199999999999999" customHeight="1" x14ac:dyDescent="0.25"/>
    <row r="46" ht="10.199999999999999" customHeight="1" x14ac:dyDescent="0.25"/>
    <row r="47" ht="10.199999999999999" customHeight="1" x14ac:dyDescent="0.25"/>
    <row r="48" ht="10.199999999999999" customHeight="1" x14ac:dyDescent="0.25"/>
    <row r="49" ht="10.199999999999999" customHeight="1" x14ac:dyDescent="0.25"/>
    <row r="50" ht="10.199999999999999" customHeight="1" x14ac:dyDescent="0.25"/>
    <row r="51" ht="10.199999999999999" customHeight="1" x14ac:dyDescent="0.25"/>
    <row r="52" ht="10.199999999999999" customHeight="1" x14ac:dyDescent="0.25"/>
    <row r="53" ht="10.199999999999999" customHeight="1" x14ac:dyDescent="0.25"/>
    <row r="54" ht="10.199999999999999" customHeight="1" x14ac:dyDescent="0.25"/>
    <row r="55" ht="10.199999999999999" customHeight="1" x14ac:dyDescent="0.25"/>
    <row r="56" ht="10.199999999999999" customHeight="1" x14ac:dyDescent="0.25"/>
    <row r="57" ht="10.199999999999999" customHeight="1" x14ac:dyDescent="0.25"/>
    <row r="58" ht="10.199999999999999" customHeight="1" x14ac:dyDescent="0.25"/>
    <row r="59" ht="10.199999999999999" customHeight="1" x14ac:dyDescent="0.25"/>
    <row r="60" ht="10.199999999999999" customHeight="1" x14ac:dyDescent="0.25"/>
    <row r="61" ht="10.199999999999999" customHeight="1" x14ac:dyDescent="0.25"/>
    <row r="62" ht="10.199999999999999" customHeight="1" x14ac:dyDescent="0.25"/>
    <row r="63" ht="10.199999999999999" customHeight="1" x14ac:dyDescent="0.25"/>
    <row r="64" ht="10.199999999999999" customHeight="1" x14ac:dyDescent="0.25"/>
    <row r="65" ht="10.199999999999999" customHeight="1" x14ac:dyDescent="0.25"/>
    <row r="66" ht="10.199999999999999" customHeight="1" x14ac:dyDescent="0.25"/>
    <row r="67" ht="10.199999999999999" customHeight="1" x14ac:dyDescent="0.25"/>
    <row r="68" ht="10.199999999999999" customHeight="1" x14ac:dyDescent="0.25"/>
    <row r="69" ht="10.199999999999999" customHeight="1" x14ac:dyDescent="0.25"/>
    <row r="70" ht="10.199999999999999" customHeight="1" x14ac:dyDescent="0.25"/>
    <row r="71" ht="10.199999999999999" customHeight="1" x14ac:dyDescent="0.25"/>
    <row r="72" ht="10.199999999999999" customHeight="1" x14ac:dyDescent="0.25"/>
    <row r="73" ht="10.199999999999999" customHeight="1" x14ac:dyDescent="0.25"/>
    <row r="74" ht="10.199999999999999" customHeight="1" x14ac:dyDescent="0.25"/>
    <row r="75" ht="10.199999999999999" customHeight="1" x14ac:dyDescent="0.25"/>
    <row r="76" ht="10.199999999999999" customHeight="1" x14ac:dyDescent="0.25"/>
    <row r="77" ht="10.199999999999999" customHeight="1" x14ac:dyDescent="0.25"/>
    <row r="78" ht="10.199999999999999" customHeight="1" x14ac:dyDescent="0.25"/>
    <row r="79" ht="10.199999999999999" customHeight="1" x14ac:dyDescent="0.25"/>
    <row r="80" ht="10.199999999999999" customHeight="1" x14ac:dyDescent="0.25"/>
    <row r="81" ht="10.199999999999999" customHeight="1" x14ac:dyDescent="0.25"/>
    <row r="82" ht="10.199999999999999" customHeight="1" x14ac:dyDescent="0.25"/>
    <row r="83" ht="10.199999999999999" customHeight="1" x14ac:dyDescent="0.25"/>
    <row r="84" ht="10.199999999999999" customHeight="1" x14ac:dyDescent="0.25"/>
    <row r="85" ht="10.199999999999999" customHeight="1" x14ac:dyDescent="0.25"/>
    <row r="86" ht="10.199999999999999" customHeight="1" x14ac:dyDescent="0.25"/>
    <row r="87" ht="10.199999999999999" customHeight="1" x14ac:dyDescent="0.25"/>
    <row r="88" ht="10.199999999999999" customHeight="1" x14ac:dyDescent="0.25"/>
    <row r="89" ht="10.199999999999999" customHeight="1" x14ac:dyDescent="0.25"/>
    <row r="90" ht="10.199999999999999" customHeight="1" x14ac:dyDescent="0.25"/>
    <row r="91" ht="10.199999999999999" customHeight="1" x14ac:dyDescent="0.25"/>
    <row r="92" ht="10.199999999999999" customHeight="1" x14ac:dyDescent="0.25"/>
    <row r="93" ht="10.199999999999999" customHeight="1" x14ac:dyDescent="0.25"/>
    <row r="94" ht="10.199999999999999" customHeight="1" x14ac:dyDescent="0.25"/>
    <row r="95" ht="10.199999999999999" customHeight="1" x14ac:dyDescent="0.25"/>
    <row r="96" ht="10.199999999999999" customHeight="1" x14ac:dyDescent="0.25"/>
    <row r="97" ht="10.199999999999999" customHeight="1" x14ac:dyDescent="0.25"/>
    <row r="98" ht="10.199999999999999" customHeight="1" x14ac:dyDescent="0.25"/>
    <row r="99" ht="10.199999999999999" customHeight="1" x14ac:dyDescent="0.25"/>
    <row r="100" ht="10.199999999999999" customHeight="1" x14ac:dyDescent="0.25"/>
    <row r="101" ht="10.199999999999999" customHeight="1" x14ac:dyDescent="0.25"/>
    <row r="102" ht="10.199999999999999" customHeight="1" x14ac:dyDescent="0.25"/>
    <row r="103" ht="10.199999999999999" customHeight="1" x14ac:dyDescent="0.25"/>
    <row r="104" ht="10.199999999999999" customHeight="1" x14ac:dyDescent="0.25"/>
    <row r="105" ht="10.199999999999999" customHeight="1" x14ac:dyDescent="0.25"/>
    <row r="106" ht="10.199999999999999" customHeight="1" x14ac:dyDescent="0.25"/>
    <row r="107" ht="10.199999999999999" customHeight="1" x14ac:dyDescent="0.25"/>
    <row r="108" ht="10.199999999999999" customHeight="1" x14ac:dyDescent="0.25"/>
    <row r="109" ht="10.199999999999999" customHeight="1" x14ac:dyDescent="0.25"/>
    <row r="110" ht="10.199999999999999" customHeight="1" x14ac:dyDescent="0.25"/>
    <row r="111" ht="10.199999999999999" customHeight="1" x14ac:dyDescent="0.25"/>
    <row r="112" ht="10.199999999999999" customHeight="1" x14ac:dyDescent="0.25"/>
    <row r="113" ht="10.199999999999999" customHeight="1" x14ac:dyDescent="0.25"/>
    <row r="114" ht="10.199999999999999" customHeight="1" x14ac:dyDescent="0.25"/>
    <row r="115" ht="10.199999999999999" customHeight="1" x14ac:dyDescent="0.25"/>
    <row r="116" ht="10.199999999999999" customHeight="1" x14ac:dyDescent="0.25"/>
    <row r="117" ht="10.199999999999999" customHeight="1" x14ac:dyDescent="0.25"/>
    <row r="118" ht="10.199999999999999" customHeight="1" x14ac:dyDescent="0.25"/>
    <row r="119" ht="10.199999999999999" customHeight="1" x14ac:dyDescent="0.25"/>
    <row r="120" ht="10.199999999999999" customHeight="1" x14ac:dyDescent="0.25"/>
    <row r="121" ht="10.199999999999999" customHeight="1" x14ac:dyDescent="0.25"/>
    <row r="122" ht="10.199999999999999" customHeight="1" x14ac:dyDescent="0.25"/>
    <row r="123" ht="10.199999999999999" customHeight="1" x14ac:dyDescent="0.25"/>
    <row r="124" ht="10.199999999999999" customHeight="1" x14ac:dyDescent="0.25"/>
    <row r="125" ht="10.199999999999999" customHeight="1" x14ac:dyDescent="0.25"/>
    <row r="126" ht="10.199999999999999" customHeight="1" x14ac:dyDescent="0.25"/>
    <row r="127" ht="10.199999999999999" customHeight="1" x14ac:dyDescent="0.25"/>
    <row r="128" ht="10.199999999999999" customHeight="1" x14ac:dyDescent="0.25"/>
    <row r="129" ht="10.199999999999999" customHeight="1" x14ac:dyDescent="0.25"/>
    <row r="130" ht="10.199999999999999" customHeight="1" x14ac:dyDescent="0.25"/>
    <row r="131" ht="10.199999999999999" customHeight="1" x14ac:dyDescent="0.25"/>
    <row r="132" ht="10.199999999999999" customHeight="1" x14ac:dyDescent="0.25"/>
    <row r="133" ht="10.199999999999999" customHeight="1" x14ac:dyDescent="0.25"/>
    <row r="134" ht="10.199999999999999" customHeight="1" x14ac:dyDescent="0.25"/>
    <row r="135" ht="10.199999999999999" customHeight="1" x14ac:dyDescent="0.25"/>
    <row r="136" ht="10.199999999999999" customHeight="1" x14ac:dyDescent="0.25"/>
    <row r="137" ht="10.199999999999999" customHeight="1" x14ac:dyDescent="0.25"/>
    <row r="138" ht="10.199999999999999" customHeight="1" x14ac:dyDescent="0.25"/>
    <row r="139" ht="10.199999999999999" customHeight="1" x14ac:dyDescent="0.25"/>
    <row r="140" ht="10.199999999999999" customHeight="1" x14ac:dyDescent="0.25"/>
    <row r="141" ht="10.199999999999999" customHeight="1" x14ac:dyDescent="0.25"/>
    <row r="142" ht="10.199999999999999" customHeight="1" x14ac:dyDescent="0.25"/>
    <row r="143" ht="10.199999999999999" customHeight="1" x14ac:dyDescent="0.25"/>
    <row r="144" ht="10.199999999999999" customHeight="1" x14ac:dyDescent="0.25"/>
    <row r="145" ht="10.199999999999999" customHeight="1" x14ac:dyDescent="0.25"/>
    <row r="146" ht="10.199999999999999" customHeight="1" x14ac:dyDescent="0.25"/>
    <row r="147" ht="10.199999999999999" customHeight="1" x14ac:dyDescent="0.25"/>
    <row r="148" ht="10.199999999999999" customHeight="1" x14ac:dyDescent="0.25"/>
    <row r="149" ht="10.199999999999999" customHeight="1" x14ac:dyDescent="0.25"/>
    <row r="150" ht="10.199999999999999" customHeight="1" x14ac:dyDescent="0.25"/>
    <row r="151" ht="10.199999999999999" customHeight="1" x14ac:dyDescent="0.25"/>
    <row r="152" ht="10.199999999999999" customHeight="1" x14ac:dyDescent="0.25"/>
    <row r="153" ht="10.199999999999999" customHeight="1" x14ac:dyDescent="0.25"/>
    <row r="154" ht="10.199999999999999" customHeight="1" x14ac:dyDescent="0.25"/>
    <row r="155" ht="10.199999999999999" customHeight="1" x14ac:dyDescent="0.25"/>
    <row r="156" ht="10.199999999999999" customHeight="1" x14ac:dyDescent="0.25"/>
    <row r="157" ht="10.199999999999999" customHeight="1" x14ac:dyDescent="0.25"/>
    <row r="158" ht="10.199999999999999" customHeight="1" x14ac:dyDescent="0.25"/>
    <row r="159" ht="10.199999999999999" customHeight="1" x14ac:dyDescent="0.25"/>
    <row r="160" ht="10.199999999999999" customHeight="1" x14ac:dyDescent="0.25"/>
    <row r="161" ht="10.199999999999999" customHeight="1" x14ac:dyDescent="0.25"/>
    <row r="162" ht="10.199999999999999" customHeight="1" x14ac:dyDescent="0.25"/>
    <row r="163" ht="10.199999999999999" customHeight="1" x14ac:dyDescent="0.25"/>
    <row r="164" ht="10.199999999999999" customHeight="1" x14ac:dyDescent="0.25"/>
    <row r="165" ht="10.199999999999999" customHeight="1" x14ac:dyDescent="0.25"/>
    <row r="166" ht="10.199999999999999" customHeight="1" x14ac:dyDescent="0.25"/>
    <row r="167" ht="10.199999999999999" customHeight="1" x14ac:dyDescent="0.25"/>
    <row r="168" ht="10.199999999999999" customHeight="1" x14ac:dyDescent="0.25"/>
    <row r="169" ht="10.199999999999999" customHeight="1" x14ac:dyDescent="0.25"/>
    <row r="170" ht="10.199999999999999" customHeight="1" x14ac:dyDescent="0.25"/>
    <row r="171" ht="10.199999999999999" customHeight="1" x14ac:dyDescent="0.25"/>
    <row r="172" ht="10.199999999999999" customHeight="1" x14ac:dyDescent="0.25"/>
    <row r="173" ht="10.199999999999999" customHeight="1" x14ac:dyDescent="0.25"/>
    <row r="174" ht="10.199999999999999" customHeight="1" x14ac:dyDescent="0.25"/>
    <row r="175" ht="10.199999999999999" customHeight="1" x14ac:dyDescent="0.25"/>
    <row r="176" ht="10.199999999999999" customHeight="1" x14ac:dyDescent="0.25"/>
    <row r="177" ht="10.199999999999999" customHeight="1" x14ac:dyDescent="0.25"/>
    <row r="178" ht="10.199999999999999" customHeight="1" x14ac:dyDescent="0.25"/>
    <row r="179" ht="10.199999999999999" customHeight="1" x14ac:dyDescent="0.25"/>
    <row r="180" ht="10.199999999999999" customHeight="1" x14ac:dyDescent="0.25"/>
    <row r="181" ht="10.199999999999999" customHeight="1" x14ac:dyDescent="0.25"/>
    <row r="182" ht="10.199999999999999" customHeight="1" x14ac:dyDescent="0.25"/>
    <row r="183" ht="10.199999999999999" customHeight="1" x14ac:dyDescent="0.25"/>
    <row r="184" ht="10.199999999999999" customHeight="1" x14ac:dyDescent="0.25"/>
    <row r="185" ht="10.199999999999999" customHeight="1" x14ac:dyDescent="0.25"/>
    <row r="186" ht="10.199999999999999" customHeight="1" x14ac:dyDescent="0.25"/>
    <row r="187" ht="10.199999999999999" customHeight="1" x14ac:dyDescent="0.25"/>
    <row r="188" ht="10.199999999999999" customHeight="1" x14ac:dyDescent="0.25"/>
    <row r="189" ht="10.199999999999999" customHeight="1" x14ac:dyDescent="0.25"/>
    <row r="190" ht="10.199999999999999" customHeight="1" x14ac:dyDescent="0.25"/>
    <row r="191" ht="10.199999999999999" customHeight="1" x14ac:dyDescent="0.25"/>
    <row r="192" ht="10.199999999999999" customHeight="1" x14ac:dyDescent="0.25"/>
    <row r="193" ht="10.199999999999999" customHeight="1" x14ac:dyDescent="0.25"/>
    <row r="194" ht="10.199999999999999" customHeight="1" x14ac:dyDescent="0.25"/>
    <row r="195" ht="10.199999999999999" customHeight="1" x14ac:dyDescent="0.25"/>
    <row r="196" ht="10.199999999999999" customHeight="1" x14ac:dyDescent="0.25"/>
    <row r="197" ht="10.199999999999999" customHeight="1" x14ac:dyDescent="0.25"/>
    <row r="198" ht="10.199999999999999" customHeight="1" x14ac:dyDescent="0.25"/>
    <row r="199" ht="10.199999999999999" customHeight="1" x14ac:dyDescent="0.25"/>
    <row r="200" ht="10.199999999999999" customHeight="1" x14ac:dyDescent="0.25"/>
    <row r="201" ht="10.199999999999999" customHeight="1" x14ac:dyDescent="0.25"/>
    <row r="202" ht="10.199999999999999" customHeight="1" x14ac:dyDescent="0.25"/>
    <row r="203" ht="10.199999999999999" customHeight="1" x14ac:dyDescent="0.25"/>
    <row r="204" ht="10.199999999999999" customHeight="1" x14ac:dyDescent="0.25"/>
    <row r="205" ht="10.199999999999999" customHeight="1" x14ac:dyDescent="0.25"/>
    <row r="206" ht="10.199999999999999" customHeight="1" x14ac:dyDescent="0.25"/>
    <row r="207" ht="10.199999999999999" customHeight="1" x14ac:dyDescent="0.25"/>
    <row r="208" ht="10.199999999999999" customHeight="1" x14ac:dyDescent="0.25"/>
    <row r="209" ht="10.199999999999999" customHeight="1" x14ac:dyDescent="0.25"/>
    <row r="210" ht="10.199999999999999" customHeight="1" x14ac:dyDescent="0.25"/>
    <row r="211" ht="10.199999999999999" customHeight="1" x14ac:dyDescent="0.25"/>
    <row r="212" ht="10.199999999999999" customHeight="1" x14ac:dyDescent="0.25"/>
    <row r="213" ht="10.199999999999999" customHeight="1" x14ac:dyDescent="0.25"/>
    <row r="214" ht="10.199999999999999" customHeight="1" x14ac:dyDescent="0.25"/>
    <row r="215" ht="10.199999999999999" customHeight="1" x14ac:dyDescent="0.25"/>
    <row r="216" ht="10.199999999999999" customHeight="1" x14ac:dyDescent="0.25"/>
    <row r="217" ht="10.199999999999999" customHeight="1" x14ac:dyDescent="0.25"/>
    <row r="218" ht="10.199999999999999" customHeight="1" x14ac:dyDescent="0.25"/>
    <row r="219" ht="10.199999999999999" customHeight="1" x14ac:dyDescent="0.25"/>
    <row r="220" ht="10.199999999999999" customHeight="1" x14ac:dyDescent="0.25"/>
    <row r="221" ht="10.199999999999999" customHeight="1" x14ac:dyDescent="0.25"/>
    <row r="222" ht="10.199999999999999" customHeight="1" x14ac:dyDescent="0.25"/>
    <row r="223" ht="10.199999999999999" customHeight="1" x14ac:dyDescent="0.25"/>
    <row r="224" ht="10.199999999999999" customHeight="1" x14ac:dyDescent="0.25"/>
    <row r="225" ht="10.199999999999999" customHeight="1" x14ac:dyDescent="0.25"/>
    <row r="226" ht="10.199999999999999" customHeight="1" x14ac:dyDescent="0.25"/>
    <row r="227" ht="10.199999999999999" customHeight="1" x14ac:dyDescent="0.25"/>
    <row r="228" ht="10.199999999999999" customHeight="1" x14ac:dyDescent="0.25"/>
    <row r="229" ht="10.199999999999999" customHeight="1" x14ac:dyDescent="0.25"/>
    <row r="230" ht="10.199999999999999" customHeight="1" x14ac:dyDescent="0.25"/>
    <row r="231" ht="10.199999999999999" customHeight="1" x14ac:dyDescent="0.25"/>
    <row r="232" ht="10.199999999999999" customHeight="1" x14ac:dyDescent="0.25"/>
    <row r="233" ht="10.199999999999999" customHeight="1" x14ac:dyDescent="0.25"/>
    <row r="234" ht="10.199999999999999" customHeight="1" x14ac:dyDescent="0.25"/>
    <row r="235" ht="10.199999999999999" customHeight="1" x14ac:dyDescent="0.25"/>
    <row r="236" ht="10.199999999999999" customHeight="1" x14ac:dyDescent="0.25"/>
    <row r="237" ht="10.199999999999999" customHeight="1" x14ac:dyDescent="0.25"/>
    <row r="238" ht="10.199999999999999" customHeight="1" x14ac:dyDescent="0.25"/>
    <row r="239" ht="10.199999999999999" customHeight="1" x14ac:dyDescent="0.25"/>
    <row r="240" ht="10.199999999999999" customHeight="1" x14ac:dyDescent="0.25"/>
    <row r="241" ht="10.199999999999999" customHeight="1" x14ac:dyDescent="0.25"/>
    <row r="242" ht="10.199999999999999" customHeight="1" x14ac:dyDescent="0.25"/>
    <row r="243" ht="10.199999999999999" customHeight="1" x14ac:dyDescent="0.25"/>
    <row r="244" ht="10.199999999999999" customHeight="1" x14ac:dyDescent="0.25"/>
    <row r="245" ht="10.199999999999999" customHeight="1" x14ac:dyDescent="0.25"/>
    <row r="246" ht="10.199999999999999" customHeight="1" x14ac:dyDescent="0.25"/>
    <row r="247" ht="10.199999999999999" customHeight="1" x14ac:dyDescent="0.25"/>
    <row r="248" ht="10.199999999999999" customHeight="1" x14ac:dyDescent="0.25"/>
    <row r="249" ht="10.199999999999999" customHeight="1" x14ac:dyDescent="0.25"/>
    <row r="250" ht="10.199999999999999" customHeight="1" x14ac:dyDescent="0.25"/>
    <row r="251" ht="10.199999999999999" customHeight="1" x14ac:dyDescent="0.25"/>
    <row r="252" ht="10.199999999999999" customHeight="1" x14ac:dyDescent="0.25"/>
    <row r="253" ht="10.199999999999999" customHeight="1" x14ac:dyDescent="0.25"/>
    <row r="254" ht="10.199999999999999" customHeight="1" x14ac:dyDescent="0.25"/>
    <row r="255" ht="10.199999999999999" customHeight="1" x14ac:dyDescent="0.25"/>
    <row r="256" ht="10.199999999999999" customHeight="1" x14ac:dyDescent="0.25"/>
    <row r="257" ht="10.199999999999999" customHeight="1" x14ac:dyDescent="0.25"/>
    <row r="258" ht="10.199999999999999" customHeight="1" x14ac:dyDescent="0.25"/>
    <row r="259" ht="10.199999999999999" customHeight="1" x14ac:dyDescent="0.25"/>
    <row r="260" ht="10.199999999999999" customHeight="1" x14ac:dyDescent="0.25"/>
    <row r="261" ht="10.199999999999999" customHeight="1" x14ac:dyDescent="0.25"/>
    <row r="262" ht="10.199999999999999" customHeight="1" x14ac:dyDescent="0.25"/>
    <row r="263" ht="10.199999999999999" customHeight="1" x14ac:dyDescent="0.25"/>
    <row r="264" ht="10.199999999999999" customHeight="1" x14ac:dyDescent="0.25"/>
    <row r="265" ht="10.199999999999999" customHeight="1" x14ac:dyDescent="0.25"/>
    <row r="266" ht="10.199999999999999" customHeight="1" x14ac:dyDescent="0.25"/>
    <row r="267" ht="10.199999999999999" customHeight="1" x14ac:dyDescent="0.25"/>
    <row r="268" ht="10.199999999999999" customHeight="1" x14ac:dyDescent="0.25"/>
    <row r="269" ht="10.199999999999999" customHeight="1" x14ac:dyDescent="0.25"/>
    <row r="270" ht="10.199999999999999" customHeight="1" x14ac:dyDescent="0.25"/>
    <row r="271" ht="10.199999999999999" customHeight="1" x14ac:dyDescent="0.25"/>
    <row r="272" ht="10.199999999999999" customHeight="1" x14ac:dyDescent="0.25"/>
    <row r="273" ht="10.199999999999999" customHeight="1" x14ac:dyDescent="0.25"/>
    <row r="274" ht="10.199999999999999" customHeight="1" x14ac:dyDescent="0.25"/>
    <row r="275" ht="10.199999999999999" customHeight="1" x14ac:dyDescent="0.25"/>
    <row r="276" ht="10.199999999999999" customHeight="1" x14ac:dyDescent="0.25"/>
    <row r="277" ht="10.199999999999999" customHeight="1" x14ac:dyDescent="0.25"/>
    <row r="278" ht="10.199999999999999" customHeight="1" x14ac:dyDescent="0.25"/>
    <row r="279" ht="10.199999999999999" customHeight="1" x14ac:dyDescent="0.25"/>
    <row r="280" ht="10.199999999999999" customHeight="1" x14ac:dyDescent="0.25"/>
    <row r="281" ht="10.199999999999999" customHeight="1" x14ac:dyDescent="0.25"/>
    <row r="282" ht="10.199999999999999" customHeight="1" x14ac:dyDescent="0.25"/>
    <row r="283" ht="10.199999999999999" customHeight="1" x14ac:dyDescent="0.25"/>
    <row r="284" ht="10.199999999999999" customHeight="1" x14ac:dyDescent="0.25"/>
    <row r="285" ht="10.199999999999999" customHeight="1" x14ac:dyDescent="0.25"/>
    <row r="286" ht="10.199999999999999" customHeight="1" x14ac:dyDescent="0.25"/>
    <row r="287" ht="10.199999999999999" customHeight="1" x14ac:dyDescent="0.25"/>
    <row r="288" ht="10.199999999999999" customHeight="1" x14ac:dyDescent="0.25"/>
    <row r="289" ht="10.199999999999999" customHeight="1" x14ac:dyDescent="0.25"/>
    <row r="290" ht="10.199999999999999" customHeight="1" x14ac:dyDescent="0.25"/>
    <row r="291" ht="10.199999999999999" customHeight="1" x14ac:dyDescent="0.25"/>
    <row r="292" ht="10.199999999999999" customHeight="1" x14ac:dyDescent="0.25"/>
    <row r="293" ht="10.199999999999999" customHeight="1" x14ac:dyDescent="0.25"/>
    <row r="294" ht="10.199999999999999" customHeight="1" x14ac:dyDescent="0.25"/>
    <row r="295" ht="10.199999999999999" customHeight="1" x14ac:dyDescent="0.25"/>
    <row r="296" ht="10.199999999999999" customHeight="1" x14ac:dyDescent="0.25"/>
    <row r="297" ht="10.199999999999999" customHeight="1" x14ac:dyDescent="0.25"/>
    <row r="298" ht="10.199999999999999" customHeight="1" x14ac:dyDescent="0.25"/>
    <row r="299" ht="10.199999999999999" customHeight="1" x14ac:dyDescent="0.25"/>
    <row r="300" ht="10.199999999999999" customHeight="1" x14ac:dyDescent="0.25"/>
    <row r="301" ht="10.199999999999999" customHeight="1" x14ac:dyDescent="0.25"/>
    <row r="302" ht="10.199999999999999" customHeight="1" x14ac:dyDescent="0.25"/>
    <row r="303" ht="10.199999999999999" customHeight="1" x14ac:dyDescent="0.25"/>
    <row r="304" ht="10.199999999999999" customHeight="1" x14ac:dyDescent="0.25"/>
    <row r="305" ht="10.199999999999999" customHeight="1" x14ac:dyDescent="0.25"/>
    <row r="306" ht="10.199999999999999" customHeight="1" x14ac:dyDescent="0.25"/>
    <row r="307" ht="10.199999999999999" customHeight="1" x14ac:dyDescent="0.25"/>
    <row r="308" ht="10.199999999999999" customHeight="1" x14ac:dyDescent="0.25"/>
    <row r="309" ht="10.199999999999999" customHeight="1" x14ac:dyDescent="0.25"/>
  </sheetData>
  <mergeCells count="39">
    <mergeCell ref="B19:L19"/>
    <mergeCell ref="G12:I12"/>
    <mergeCell ref="B7:G7"/>
    <mergeCell ref="J5:L5"/>
    <mergeCell ref="J12:K12"/>
    <mergeCell ref="B15:C15"/>
    <mergeCell ref="J18:K18"/>
    <mergeCell ref="G17:I17"/>
    <mergeCell ref="J17:K17"/>
    <mergeCell ref="B2:L2"/>
    <mergeCell ref="B14:C14"/>
    <mergeCell ref="B17:C17"/>
    <mergeCell ref="D15:F15"/>
    <mergeCell ref="B1:L1"/>
    <mergeCell ref="B13:C13"/>
    <mergeCell ref="G16:I16"/>
    <mergeCell ref="D14:F14"/>
    <mergeCell ref="H7:L7"/>
    <mergeCell ref="J16:K16"/>
    <mergeCell ref="B4:I4"/>
    <mergeCell ref="B3:L3"/>
    <mergeCell ref="G18:I18"/>
    <mergeCell ref="D17:F17"/>
    <mergeCell ref="B18:C18"/>
    <mergeCell ref="J13:K13"/>
    <mergeCell ref="D16:F16"/>
    <mergeCell ref="G15:I15"/>
    <mergeCell ref="B12:C12"/>
    <mergeCell ref="G14:I14"/>
    <mergeCell ref="J15:K15"/>
    <mergeCell ref="B5:C6"/>
    <mergeCell ref="D18:F18"/>
    <mergeCell ref="D12:F12"/>
    <mergeCell ref="B16:C16"/>
    <mergeCell ref="D13:F13"/>
    <mergeCell ref="D5:I6"/>
    <mergeCell ref="G13:I13"/>
    <mergeCell ref="J14:K14"/>
    <mergeCell ref="J10:K10"/>
  </mergeCells>
  <printOptions horizontalCentered="1" verticalCentered="1"/>
  <pageMargins left="0.59055118110236227" right="0.59055118110236227" top="0.59055118110236227" bottom="0.59055118110236227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M34"/>
  <sheetViews>
    <sheetView workbookViewId="0">
      <selection activeCell="M1" sqref="A1:M33"/>
    </sheetView>
  </sheetViews>
  <sheetFormatPr defaultRowHeight="13.2" x14ac:dyDescent="0.25"/>
  <cols>
    <col min="1" max="1" width="3.33203125" customWidth="1"/>
    <col min="3" max="3" width="13.109375" customWidth="1"/>
    <col min="6" max="7" width="12.44140625" customWidth="1"/>
    <col min="9" max="9" width="17.33203125" customWidth="1"/>
    <col min="11" max="11" width="13.109375" customWidth="1"/>
    <col min="12" max="12" width="14.44140625" customWidth="1"/>
    <col min="13" max="13" width="4" customWidth="1"/>
  </cols>
  <sheetData>
    <row r="1" spans="1:13" ht="13.8" customHeight="1" thickTop="1" x14ac:dyDescent="0.25">
      <c r="A1" s="198"/>
      <c r="B1" s="355"/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199"/>
    </row>
    <row r="2" spans="1:13" x14ac:dyDescent="0.25">
      <c r="A2" s="200"/>
      <c r="B2" s="354" t="s">
        <v>0</v>
      </c>
      <c r="C2" s="337"/>
      <c r="D2" s="337"/>
      <c r="E2" s="337"/>
      <c r="F2" s="337"/>
      <c r="G2" s="337"/>
      <c r="H2" s="337"/>
      <c r="I2" s="337"/>
      <c r="J2" s="337"/>
      <c r="K2" s="337"/>
      <c r="L2" s="338"/>
      <c r="M2" s="282"/>
    </row>
    <row r="3" spans="1:13" x14ac:dyDescent="0.25">
      <c r="A3" s="200"/>
      <c r="B3" s="346" t="s">
        <v>1</v>
      </c>
      <c r="C3" s="340"/>
      <c r="D3" s="340"/>
      <c r="E3" s="340"/>
      <c r="F3" s="340"/>
      <c r="G3" s="340"/>
      <c r="H3" s="340"/>
      <c r="I3" s="340"/>
      <c r="J3" s="340"/>
      <c r="K3" s="340"/>
      <c r="L3" s="341"/>
      <c r="M3" s="282"/>
    </row>
    <row r="4" spans="1:13" x14ac:dyDescent="0.25">
      <c r="A4" s="200"/>
      <c r="B4" s="360" t="s">
        <v>367</v>
      </c>
      <c r="C4" s="344"/>
      <c r="D4" s="344"/>
      <c r="E4" s="344"/>
      <c r="F4" s="344"/>
      <c r="G4" s="344"/>
      <c r="H4" s="344"/>
      <c r="I4" s="334"/>
      <c r="J4" s="259" t="s">
        <v>3</v>
      </c>
      <c r="K4" s="277"/>
      <c r="L4" s="289"/>
      <c r="M4" s="283"/>
    </row>
    <row r="5" spans="1:13" x14ac:dyDescent="0.25">
      <c r="A5" s="200"/>
      <c r="B5" s="353" t="s">
        <v>4</v>
      </c>
      <c r="C5" s="338"/>
      <c r="D5" s="336" t="str">
        <f>'QUADRO I'!D5:O6</f>
        <v>{RUA}, {COMPLEMENTO}; {SETOR} - {CIDADE}</v>
      </c>
      <c r="E5" s="337"/>
      <c r="F5" s="337"/>
      <c r="G5" s="337"/>
      <c r="H5" s="337"/>
      <c r="I5" s="338"/>
      <c r="J5" s="362" t="s">
        <v>5</v>
      </c>
      <c r="K5" s="344"/>
      <c r="L5" s="334"/>
      <c r="M5" s="213"/>
    </row>
    <row r="6" spans="1:13" x14ac:dyDescent="0.25">
      <c r="A6" s="200"/>
      <c r="B6" s="339"/>
      <c r="C6" s="341"/>
      <c r="D6" s="339"/>
      <c r="E6" s="340"/>
      <c r="F6" s="340"/>
      <c r="G6" s="340"/>
      <c r="H6" s="340"/>
      <c r="I6" s="341"/>
      <c r="J6" s="49" t="s">
        <v>6</v>
      </c>
      <c r="K6" s="74">
        <v>10</v>
      </c>
      <c r="L6" s="290"/>
      <c r="M6" s="213"/>
    </row>
    <row r="7" spans="1:13" x14ac:dyDescent="0.25">
      <c r="A7" s="200"/>
      <c r="B7" s="360" t="s">
        <v>7</v>
      </c>
      <c r="C7" s="344"/>
      <c r="D7" s="344"/>
      <c r="E7" s="344"/>
      <c r="F7" s="344"/>
      <c r="G7" s="334"/>
      <c r="H7" s="360" t="s">
        <v>8</v>
      </c>
      <c r="I7" s="344"/>
      <c r="J7" s="344"/>
      <c r="K7" s="344"/>
      <c r="L7" s="334"/>
      <c r="M7" s="278"/>
    </row>
    <row r="8" spans="1:13" x14ac:dyDescent="0.25">
      <c r="A8" s="200"/>
      <c r="B8" s="79" t="s">
        <v>9</v>
      </c>
      <c r="C8" s="497" t="str">
        <f>'QUADRO VII'!C8</f>
        <v>{IMCORPORADOR}</v>
      </c>
      <c r="D8" s="337"/>
      <c r="E8" s="337"/>
      <c r="F8" s="337"/>
      <c r="G8" s="338"/>
      <c r="H8" s="19" t="s">
        <v>9</v>
      </c>
      <c r="I8" s="313" t="str">
        <f>('QUADRO I'!$N$8)</f>
        <v>{RESPONSÁVEL TÉCNICO}</v>
      </c>
      <c r="J8" s="27"/>
      <c r="K8" s="27"/>
      <c r="L8" s="28"/>
      <c r="M8" s="202"/>
    </row>
    <row r="9" spans="1:13" x14ac:dyDescent="0.25">
      <c r="A9" s="200"/>
      <c r="B9" s="9" t="s">
        <v>10</v>
      </c>
      <c r="C9" s="1"/>
      <c r="D9" s="1"/>
      <c r="E9" s="1"/>
      <c r="F9" s="1"/>
      <c r="G9" s="4"/>
      <c r="H9" s="10" t="s">
        <v>10</v>
      </c>
      <c r="I9" s="1"/>
      <c r="J9" s="1"/>
      <c r="K9" s="1"/>
      <c r="L9" s="4"/>
      <c r="M9" s="202"/>
    </row>
    <row r="10" spans="1:13" x14ac:dyDescent="0.25">
      <c r="A10" s="200"/>
      <c r="B10" s="5" t="s">
        <v>11</v>
      </c>
      <c r="C10" s="165" t="str">
        <f>'QUADRO VII'!C10</f>
        <v>{DATA HOJE}</v>
      </c>
      <c r="D10" s="2"/>
      <c r="E10" s="2"/>
      <c r="F10" s="2"/>
      <c r="G10" s="3"/>
      <c r="H10" s="11" t="s">
        <v>11</v>
      </c>
      <c r="I10" s="165" t="str">
        <f>('QUADRO I'!$N$10)</f>
        <v>{DATA HOJE}</v>
      </c>
      <c r="J10" s="345" t="str">
        <f>('QUADRO I'!$Q$10)</f>
        <v>Registro no CREA:</v>
      </c>
      <c r="K10" s="340"/>
      <c r="L10" s="114" t="str">
        <f>('QUADRO I'!$S$10)</f>
        <v>{CREA}</v>
      </c>
      <c r="M10" s="213"/>
    </row>
    <row r="11" spans="1:13" x14ac:dyDescent="0.25">
      <c r="A11" s="249"/>
      <c r="B11" s="343" t="s">
        <v>352</v>
      </c>
      <c r="C11" s="334"/>
      <c r="D11" s="343" t="s">
        <v>353</v>
      </c>
      <c r="E11" s="344"/>
      <c r="F11" s="334"/>
      <c r="G11" s="343" t="s">
        <v>354</v>
      </c>
      <c r="H11" s="344"/>
      <c r="I11" s="334"/>
      <c r="J11" s="343" t="s">
        <v>355</v>
      </c>
      <c r="K11" s="334"/>
      <c r="L11" s="306" t="s">
        <v>356</v>
      </c>
      <c r="M11" s="284"/>
    </row>
    <row r="12" spans="1:13" ht="24.9" customHeight="1" x14ac:dyDescent="0.25">
      <c r="A12" s="285"/>
      <c r="B12" s="450" t="s">
        <v>368</v>
      </c>
      <c r="C12" s="338"/>
      <c r="D12" s="450" t="s">
        <v>369</v>
      </c>
      <c r="E12" s="337"/>
      <c r="F12" s="338"/>
      <c r="G12" s="450" t="s">
        <v>370</v>
      </c>
      <c r="H12" s="337"/>
      <c r="I12" s="338"/>
      <c r="J12" s="450" t="s">
        <v>371</v>
      </c>
      <c r="K12" s="338"/>
      <c r="L12" s="307"/>
      <c r="M12" s="286"/>
    </row>
    <row r="13" spans="1:13" ht="24.9" customHeight="1" x14ac:dyDescent="0.25">
      <c r="A13" s="285"/>
      <c r="B13" s="494" t="s">
        <v>372</v>
      </c>
      <c r="C13" s="409"/>
      <c r="D13" s="494" t="s">
        <v>369</v>
      </c>
      <c r="E13" s="495"/>
      <c r="F13" s="409"/>
      <c r="G13" s="494" t="s">
        <v>370</v>
      </c>
      <c r="H13" s="495"/>
      <c r="I13" s="409"/>
      <c r="J13" s="494" t="s">
        <v>371</v>
      </c>
      <c r="K13" s="409"/>
      <c r="L13" s="280"/>
      <c r="M13" s="286"/>
    </row>
    <row r="14" spans="1:13" ht="24.9" customHeight="1" x14ac:dyDescent="0.25">
      <c r="A14" s="285"/>
      <c r="B14" s="494" t="s">
        <v>373</v>
      </c>
      <c r="C14" s="409"/>
      <c r="D14" s="494" t="s">
        <v>369</v>
      </c>
      <c r="E14" s="495"/>
      <c r="F14" s="409"/>
      <c r="G14" s="494" t="s">
        <v>369</v>
      </c>
      <c r="H14" s="495"/>
      <c r="I14" s="409"/>
      <c r="J14" s="494" t="s">
        <v>371</v>
      </c>
      <c r="K14" s="409"/>
      <c r="L14" s="280"/>
      <c r="M14" s="286"/>
    </row>
    <row r="15" spans="1:13" ht="24.9" customHeight="1" x14ac:dyDescent="0.25">
      <c r="A15" s="285"/>
      <c r="B15" s="494" t="s">
        <v>374</v>
      </c>
      <c r="C15" s="409"/>
      <c r="D15" s="494" t="s">
        <v>369</v>
      </c>
      <c r="E15" s="495"/>
      <c r="F15" s="409"/>
      <c r="G15" s="494" t="s">
        <v>369</v>
      </c>
      <c r="H15" s="495"/>
      <c r="I15" s="409"/>
      <c r="J15" s="494" t="s">
        <v>371</v>
      </c>
      <c r="K15" s="409"/>
      <c r="L15" s="280"/>
      <c r="M15" s="286"/>
    </row>
    <row r="16" spans="1:13" ht="24.9" customHeight="1" x14ac:dyDescent="0.25">
      <c r="A16" s="285"/>
      <c r="B16" s="494" t="s">
        <v>375</v>
      </c>
      <c r="C16" s="409"/>
      <c r="D16" s="494" t="s">
        <v>369</v>
      </c>
      <c r="E16" s="495"/>
      <c r="F16" s="409"/>
      <c r="G16" s="494" t="s">
        <v>370</v>
      </c>
      <c r="H16" s="495"/>
      <c r="I16" s="409"/>
      <c r="J16" s="494" t="s">
        <v>371</v>
      </c>
      <c r="K16" s="409"/>
      <c r="L16" s="280"/>
      <c r="M16" s="286"/>
    </row>
    <row r="17" spans="1:13" ht="24.9" customHeight="1" x14ac:dyDescent="0.25">
      <c r="A17" s="285"/>
      <c r="B17" s="494" t="s">
        <v>376</v>
      </c>
      <c r="C17" s="409"/>
      <c r="D17" s="494" t="s">
        <v>369</v>
      </c>
      <c r="E17" s="495"/>
      <c r="F17" s="409"/>
      <c r="G17" s="494" t="s">
        <v>369</v>
      </c>
      <c r="H17" s="495"/>
      <c r="I17" s="409"/>
      <c r="J17" s="494" t="s">
        <v>371</v>
      </c>
      <c r="K17" s="409"/>
      <c r="L17" s="280"/>
      <c r="M17" s="286"/>
    </row>
    <row r="18" spans="1:13" ht="24.9" customHeight="1" x14ac:dyDescent="0.25">
      <c r="A18" s="285"/>
      <c r="B18" s="494" t="s">
        <v>377</v>
      </c>
      <c r="C18" s="409"/>
      <c r="D18" s="494" t="s">
        <v>378</v>
      </c>
      <c r="E18" s="495"/>
      <c r="F18" s="409"/>
      <c r="G18" s="494" t="s">
        <v>369</v>
      </c>
      <c r="H18" s="495"/>
      <c r="I18" s="409"/>
      <c r="J18" s="494" t="s">
        <v>371</v>
      </c>
      <c r="K18" s="409"/>
      <c r="L18" s="280"/>
      <c r="M18" s="286"/>
    </row>
    <row r="19" spans="1:13" ht="24.9" customHeight="1" x14ac:dyDescent="0.25">
      <c r="A19" s="285"/>
      <c r="B19" s="12"/>
      <c r="C19" s="4"/>
      <c r="D19" s="12"/>
      <c r="E19" s="1"/>
      <c r="F19" s="4"/>
      <c r="G19" s="12"/>
      <c r="H19" s="1"/>
      <c r="I19" s="4"/>
      <c r="J19" s="12"/>
      <c r="K19" s="4"/>
      <c r="L19" s="280"/>
      <c r="M19" s="286"/>
    </row>
    <row r="20" spans="1:13" ht="24.9" customHeight="1" x14ac:dyDescent="0.25">
      <c r="A20" s="285"/>
      <c r="B20" s="12"/>
      <c r="C20" s="4"/>
      <c r="D20" s="12"/>
      <c r="E20" s="1"/>
      <c r="F20" s="4"/>
      <c r="G20" s="12"/>
      <c r="H20" s="1"/>
      <c r="I20" s="4"/>
      <c r="J20" s="12"/>
      <c r="K20" s="4"/>
      <c r="L20" s="280"/>
      <c r="M20" s="286"/>
    </row>
    <row r="21" spans="1:13" ht="24.9" customHeight="1" x14ac:dyDescent="0.25">
      <c r="A21" s="285"/>
      <c r="B21" s="12"/>
      <c r="C21" s="4"/>
      <c r="D21" s="12"/>
      <c r="E21" s="1"/>
      <c r="F21" s="4"/>
      <c r="G21" s="12"/>
      <c r="H21" s="1"/>
      <c r="I21" s="4"/>
      <c r="J21" s="12"/>
      <c r="K21" s="4"/>
      <c r="L21" s="280"/>
      <c r="M21" s="286"/>
    </row>
    <row r="22" spans="1:13" ht="24.9" customHeight="1" x14ac:dyDescent="0.25">
      <c r="A22" s="285"/>
      <c r="B22" s="12"/>
      <c r="C22" s="4"/>
      <c r="D22" s="12"/>
      <c r="E22" s="1"/>
      <c r="F22" s="4"/>
      <c r="G22" s="12"/>
      <c r="H22" s="1"/>
      <c r="I22" s="4"/>
      <c r="J22" s="12"/>
      <c r="K22" s="4"/>
      <c r="L22" s="280"/>
      <c r="M22" s="286"/>
    </row>
    <row r="23" spans="1:13" ht="24.9" customHeight="1" x14ac:dyDescent="0.25">
      <c r="A23" s="285"/>
      <c r="B23" s="12"/>
      <c r="C23" s="4"/>
      <c r="D23" s="12"/>
      <c r="E23" s="1"/>
      <c r="F23" s="4"/>
      <c r="G23" s="12"/>
      <c r="H23" s="1"/>
      <c r="I23" s="4"/>
      <c r="J23" s="12"/>
      <c r="K23" s="4"/>
      <c r="L23" s="280"/>
      <c r="M23" s="286"/>
    </row>
    <row r="24" spans="1:13" ht="24.9" customHeight="1" x14ac:dyDescent="0.25">
      <c r="A24" s="285"/>
      <c r="B24" s="12"/>
      <c r="C24" s="4"/>
      <c r="D24" s="12"/>
      <c r="E24" s="1"/>
      <c r="F24" s="4"/>
      <c r="G24" s="12"/>
      <c r="H24" s="1"/>
      <c r="I24" s="4"/>
      <c r="J24" s="12"/>
      <c r="K24" s="4"/>
      <c r="L24" s="280"/>
      <c r="M24" s="286"/>
    </row>
    <row r="25" spans="1:13" x14ac:dyDescent="0.25">
      <c r="A25" s="285"/>
      <c r="B25" s="12"/>
      <c r="C25" s="4"/>
      <c r="D25" s="12"/>
      <c r="E25" s="1"/>
      <c r="F25" s="4"/>
      <c r="G25" s="12"/>
      <c r="H25" s="1"/>
      <c r="I25" s="4"/>
      <c r="J25" s="12"/>
      <c r="K25" s="4"/>
      <c r="L25" s="280"/>
      <c r="M25" s="286"/>
    </row>
    <row r="26" spans="1:13" ht="61.5" customHeight="1" x14ac:dyDescent="0.25">
      <c r="A26" s="285"/>
      <c r="B26" s="12"/>
      <c r="C26" s="4"/>
      <c r="D26" s="12"/>
      <c r="E26" s="1"/>
      <c r="F26" s="4"/>
      <c r="G26" s="12"/>
      <c r="H26" s="1"/>
      <c r="I26" s="4"/>
      <c r="J26" s="12"/>
      <c r="K26" s="4"/>
      <c r="L26" s="280"/>
      <c r="M26" s="286"/>
    </row>
    <row r="27" spans="1:13" x14ac:dyDescent="0.25">
      <c r="A27" s="285"/>
      <c r="B27" s="12"/>
      <c r="C27" s="4"/>
      <c r="D27" s="12"/>
      <c r="E27" s="1"/>
      <c r="F27" s="4"/>
      <c r="G27" s="12"/>
      <c r="H27" s="1"/>
      <c r="I27" s="4"/>
      <c r="J27" s="12"/>
      <c r="K27" s="4"/>
      <c r="L27" s="280"/>
      <c r="M27" s="286"/>
    </row>
    <row r="28" spans="1:13" x14ac:dyDescent="0.25">
      <c r="A28" s="285"/>
      <c r="B28" s="21"/>
      <c r="C28" s="3"/>
      <c r="D28" s="21"/>
      <c r="E28" s="2"/>
      <c r="F28" s="3"/>
      <c r="G28" s="21"/>
      <c r="H28" s="2"/>
      <c r="I28" s="3"/>
      <c r="J28" s="21"/>
      <c r="K28" s="3"/>
      <c r="L28" s="281"/>
      <c r="M28" s="286"/>
    </row>
    <row r="29" spans="1:13" x14ac:dyDescent="0.25">
      <c r="A29" s="285"/>
      <c r="B29" s="496"/>
      <c r="C29" s="337"/>
      <c r="D29" s="337"/>
      <c r="E29" s="337"/>
      <c r="F29" s="337"/>
      <c r="G29" s="337"/>
      <c r="H29" s="337"/>
      <c r="I29" s="337"/>
      <c r="J29" s="337"/>
      <c r="K29" s="337"/>
      <c r="L29" s="338"/>
      <c r="M29" s="286"/>
    </row>
    <row r="30" spans="1:13" x14ac:dyDescent="0.25">
      <c r="A30" s="285"/>
      <c r="B30" s="429"/>
      <c r="C30" s="495"/>
      <c r="D30" s="495"/>
      <c r="E30" s="495"/>
      <c r="F30" s="495"/>
      <c r="G30" s="495"/>
      <c r="H30" s="495"/>
      <c r="I30" s="495"/>
      <c r="J30" s="495"/>
      <c r="K30" s="495"/>
      <c r="L30" s="409"/>
      <c r="M30" s="286"/>
    </row>
    <row r="31" spans="1:13" x14ac:dyDescent="0.25">
      <c r="A31" s="285"/>
      <c r="B31" s="429"/>
      <c r="C31" s="495"/>
      <c r="D31" s="495"/>
      <c r="E31" s="495"/>
      <c r="F31" s="495"/>
      <c r="G31" s="495"/>
      <c r="H31" s="495"/>
      <c r="I31" s="495"/>
      <c r="J31" s="495"/>
      <c r="K31" s="495"/>
      <c r="L31" s="409"/>
      <c r="M31" s="286"/>
    </row>
    <row r="32" spans="1:13" x14ac:dyDescent="0.25">
      <c r="A32" s="285"/>
      <c r="B32" s="339"/>
      <c r="C32" s="340"/>
      <c r="D32" s="340"/>
      <c r="E32" s="340"/>
      <c r="F32" s="340"/>
      <c r="G32" s="340"/>
      <c r="H32" s="340"/>
      <c r="I32" s="340"/>
      <c r="J32" s="340"/>
      <c r="K32" s="340"/>
      <c r="L32" s="341"/>
      <c r="M32" s="286"/>
    </row>
    <row r="33" spans="1:13" ht="13.8" customHeight="1" thickBot="1" x14ac:dyDescent="0.3">
      <c r="A33" s="287"/>
      <c r="B33" s="493"/>
      <c r="C33" s="351"/>
      <c r="D33" s="351"/>
      <c r="E33" s="351"/>
      <c r="F33" s="351"/>
      <c r="G33" s="351"/>
      <c r="H33" s="351"/>
      <c r="I33" s="351"/>
      <c r="J33" s="351"/>
      <c r="K33" s="351"/>
      <c r="L33" s="351"/>
      <c r="M33" s="288"/>
    </row>
    <row r="34" spans="1:13" ht="13.8" customHeight="1" thickTop="1" x14ac:dyDescent="0.25"/>
  </sheetData>
  <mergeCells count="45">
    <mergeCell ref="B33:L33"/>
    <mergeCell ref="J18:K18"/>
    <mergeCell ref="G17:I17"/>
    <mergeCell ref="B4:I4"/>
    <mergeCell ref="J17:K17"/>
    <mergeCell ref="B1:L1"/>
    <mergeCell ref="B13:C13"/>
    <mergeCell ref="G16:I16"/>
    <mergeCell ref="D14:F14"/>
    <mergeCell ref="J11:K11"/>
    <mergeCell ref="H7:L7"/>
    <mergeCell ref="J16:K16"/>
    <mergeCell ref="G12:I12"/>
    <mergeCell ref="C8:G8"/>
    <mergeCell ref="B7:G7"/>
    <mergeCell ref="G11:I11"/>
    <mergeCell ref="J5:L5"/>
    <mergeCell ref="B15:C15"/>
    <mergeCell ref="J12:K12"/>
    <mergeCell ref="B2:L2"/>
    <mergeCell ref="D12:F12"/>
    <mergeCell ref="B14:C14"/>
    <mergeCell ref="B17:C17"/>
    <mergeCell ref="D15:F15"/>
    <mergeCell ref="B29:L32"/>
    <mergeCell ref="B18:C18"/>
    <mergeCell ref="J13:K13"/>
    <mergeCell ref="D16:F16"/>
    <mergeCell ref="G15:I15"/>
    <mergeCell ref="G14:I14"/>
    <mergeCell ref="J15:K15"/>
    <mergeCell ref="D18:F18"/>
    <mergeCell ref="J14:K14"/>
    <mergeCell ref="J10:K10"/>
    <mergeCell ref="B3:L3"/>
    <mergeCell ref="G18:I18"/>
    <mergeCell ref="D17:F17"/>
    <mergeCell ref="B12:C12"/>
    <mergeCell ref="B11:C11"/>
    <mergeCell ref="B5:C6"/>
    <mergeCell ref="D13:F13"/>
    <mergeCell ref="B16:C16"/>
    <mergeCell ref="D11:F11"/>
    <mergeCell ref="D5:I6"/>
    <mergeCell ref="G13:I13"/>
  </mergeCells>
  <pageMargins left="0.511811024" right="0.511811024" top="0.78740157499999996" bottom="0.78740157499999996" header="0.31496062000000002" footer="0.31496062000000002"/>
  <pageSetup paperSize="9" scale="77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10</vt:i4>
      </vt:variant>
    </vt:vector>
  </HeadingPairs>
  <TitlesOfParts>
    <vt:vector size="22" baseType="lpstr">
      <vt:lpstr>CAPA</vt:lpstr>
      <vt:lpstr>INFORMAÇÕES PRELIMINARES</vt:lpstr>
      <vt:lpstr>QUADRO I</vt:lpstr>
      <vt:lpstr>QUADRO II</vt:lpstr>
      <vt:lpstr>QUADRO III</vt:lpstr>
      <vt:lpstr>QUADRO IV A</vt:lpstr>
      <vt:lpstr>QUADRO IV B</vt:lpstr>
      <vt:lpstr>QUADRO IV B.1</vt:lpstr>
      <vt:lpstr>QUADRO V</vt:lpstr>
      <vt:lpstr>QUADRO VI</vt:lpstr>
      <vt:lpstr>QUADRO VII</vt:lpstr>
      <vt:lpstr>QUADRO VIII</vt:lpstr>
      <vt:lpstr>CAPA!Area_de_impressao</vt:lpstr>
      <vt:lpstr>'INFORMAÇÕES PRELIMINARES'!Area_de_impressao</vt:lpstr>
      <vt:lpstr>'QUADRO I'!Area_de_impressao</vt:lpstr>
      <vt:lpstr>'QUADRO II'!Area_de_impressao</vt:lpstr>
      <vt:lpstr>'QUADRO III'!Area_de_impressao</vt:lpstr>
      <vt:lpstr>'QUADRO IV A'!Area_de_impressao</vt:lpstr>
      <vt:lpstr>'QUADRO IV B'!Area_de_impressao</vt:lpstr>
      <vt:lpstr>'QUADRO V'!Area_de_impressao</vt:lpstr>
      <vt:lpstr>'QUADRO VI'!Area_de_impressao</vt:lpstr>
      <vt:lpstr>'QUADRO VII'!Area_de_impressao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felipe guilherme berçan</cp:lastModifiedBy>
  <cp:lastPrinted>2025-02-25T18:51:45Z</cp:lastPrinted>
  <dcterms:created xsi:type="dcterms:W3CDTF">2000-07-11T19:31:15Z</dcterms:created>
  <dcterms:modified xsi:type="dcterms:W3CDTF">2026-06-19T20:10:27Z</dcterms:modified>
</cp:coreProperties>
</file>