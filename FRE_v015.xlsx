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elip\Desktop\DOCUMENTOS APROVAÇÃO EMPREEDIMENTOS\"/>
    </mc:Choice>
  </mc:AlternateContent>
  <xr:revisionPtr revIDLastSave="0" documentId="13_ncr:1_{74D1E229-C597-4ED8-B087-67F8539BBE13}" xr6:coauthVersionLast="47" xr6:coauthVersionMax="47" xr10:uidLastSave="{00000000-0000-0000-0000-000000000000}"/>
  <bookViews>
    <workbookView xWindow="28680" yWindow="-120" windowWidth="29040" windowHeight="15720" tabRatio="752" activeTab="1" xr2:uid="{6D66FF99-DDE4-43BB-AE9F-A56BFD2D93BD}"/>
  </bookViews>
  <sheets>
    <sheet name="Instruções" sheetId="14" r:id="rId1"/>
    <sheet name="FRE" sheetId="1" r:id="rId2"/>
    <sheet name="Orç_sintético_Hab" sheetId="6" r:id="rId3"/>
    <sheet name="Orç_analítico_Hab" sheetId="7" r:id="rId4"/>
    <sheet name="Orç_eventos_Infra" sheetId="13" r:id="rId5"/>
    <sheet name="Orç_analítico_Equipamen_Faixa_I" sheetId="9" r:id="rId6"/>
    <sheet name="Cronograma" sheetId="12" r:id="rId7"/>
  </sheets>
  <definedNames>
    <definedName name="_xlnm._FilterDatabase" localSheetId="1" hidden="1">FRE!$D$4:$J$4</definedName>
    <definedName name="_xlnm.Print_Area" localSheetId="1">FRE!$A$1:$P$227</definedName>
    <definedName name="_xlnm.Print_Area" localSheetId="5">Orç_analítico_Equipamen_Faixa_I!$A$1:$N$368</definedName>
    <definedName name="_xlnm.Print_Area" localSheetId="3">Orç_analítico_Hab!$A$1:$N$442</definedName>
    <definedName name="_xlnm.Print_Area" localSheetId="4">Orç_eventos_Infra!$A$1:$N$103</definedName>
    <definedName name="_xlnm.Print_Area" localSheetId="2">Orç_sintético_Hab!$A$1:$M$93</definedName>
    <definedName name="INFRA">FRE!$O$189</definedName>
    <definedName name="MCMV">FRE!$A$12</definedName>
    <definedName name="módulo">FRE!$F$32</definedName>
    <definedName name="programa">FRE!$E$4</definedName>
    <definedName name="_xlnm.Print_Titles" localSheetId="1">FRE!$1:$3</definedName>
    <definedName name="_xlnm.Print_Titles" localSheetId="5">Orç_analítico_Equipamen_Faixa_I!$1:$7</definedName>
    <definedName name="_xlnm.Print_Titles" localSheetId="3">Orç_analítico_Hab!$1:$4</definedName>
    <definedName name="_xlnm.Print_Titles" localSheetId="4">Orç_eventos_Infra!$1:$7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0" i="1" l="1"/>
  <c r="G201" i="1"/>
  <c r="N53" i="1"/>
  <c r="E51" i="1"/>
  <c r="E4" i="12"/>
  <c r="F4" i="12"/>
  <c r="D19" i="12"/>
  <c r="D20" i="12"/>
  <c r="J20" i="12"/>
  <c r="D21" i="12"/>
  <c r="J21" i="12"/>
  <c r="D24" i="12"/>
  <c r="J24" i="12"/>
  <c r="D25" i="12"/>
  <c r="J25" i="12"/>
  <c r="D26" i="12"/>
  <c r="J26" i="12"/>
  <c r="B27" i="12"/>
  <c r="C27" i="12"/>
  <c r="D27" i="12"/>
  <c r="E27" i="12"/>
  <c r="C28" i="12"/>
  <c r="E28" i="12"/>
  <c r="G28" i="12"/>
  <c r="D30" i="12"/>
  <c r="F30" i="12"/>
  <c r="H30" i="12"/>
  <c r="L30" i="12"/>
  <c r="P30" i="12"/>
  <c r="D31" i="12"/>
  <c r="F31" i="12"/>
  <c r="H31" i="12"/>
  <c r="L31" i="12"/>
  <c r="P31" i="12"/>
  <c r="D32" i="12"/>
  <c r="F32" i="12"/>
  <c r="H32" i="12"/>
  <c r="L32" i="12"/>
  <c r="P32" i="12"/>
  <c r="D33" i="12"/>
  <c r="F33" i="12"/>
  <c r="H33" i="12"/>
  <c r="L33" i="12"/>
  <c r="P33" i="12"/>
  <c r="D34" i="12"/>
  <c r="F34" i="12"/>
  <c r="H34" i="12"/>
  <c r="L34" i="12"/>
  <c r="P34" i="12"/>
  <c r="D35" i="12"/>
  <c r="F35" i="12"/>
  <c r="H35" i="12"/>
  <c r="L35" i="12"/>
  <c r="P35" i="12"/>
  <c r="D36" i="12"/>
  <c r="F36" i="12"/>
  <c r="H36" i="12"/>
  <c r="L36" i="12"/>
  <c r="P36" i="12"/>
  <c r="D37" i="12"/>
  <c r="F37" i="12"/>
  <c r="H37" i="12"/>
  <c r="L37" i="12"/>
  <c r="P37" i="12"/>
  <c r="D38" i="12"/>
  <c r="F38" i="12"/>
  <c r="H38" i="12"/>
  <c r="L38" i="12"/>
  <c r="P38" i="12"/>
  <c r="D39" i="12"/>
  <c r="F39" i="12"/>
  <c r="H39" i="12"/>
  <c r="L39" i="12"/>
  <c r="P39" i="12"/>
  <c r="D40" i="12"/>
  <c r="F40" i="12"/>
  <c r="H40" i="12"/>
  <c r="L40" i="12"/>
  <c r="P40" i="12"/>
  <c r="D41" i="12"/>
  <c r="F41" i="12"/>
  <c r="H41" i="12"/>
  <c r="L41" i="12"/>
  <c r="P41" i="12"/>
  <c r="D42" i="12"/>
  <c r="F42" i="12"/>
  <c r="H42" i="12"/>
  <c r="L42" i="12"/>
  <c r="P42" i="12"/>
  <c r="D43" i="12"/>
  <c r="F43" i="12"/>
  <c r="H43" i="12"/>
  <c r="L43" i="12"/>
  <c r="P43" i="12"/>
  <c r="D44" i="12"/>
  <c r="F44" i="12"/>
  <c r="H44" i="12"/>
  <c r="L44" i="12"/>
  <c r="P44" i="12"/>
  <c r="D45" i="12"/>
  <c r="F45" i="12"/>
  <c r="H45" i="12"/>
  <c r="L45" i="12"/>
  <c r="P45" i="12"/>
  <c r="D46" i="12"/>
  <c r="F46" i="12"/>
  <c r="H46" i="12"/>
  <c r="L46" i="12"/>
  <c r="P46" i="12"/>
  <c r="D47" i="12"/>
  <c r="F47" i="12"/>
  <c r="H47" i="12"/>
  <c r="L47" i="12"/>
  <c r="P47" i="12"/>
  <c r="D48" i="12"/>
  <c r="F48" i="12"/>
  <c r="H48" i="12"/>
  <c r="L48" i="12"/>
  <c r="P48" i="12"/>
  <c r="D49" i="12"/>
  <c r="F49" i="12"/>
  <c r="H49" i="12"/>
  <c r="L49" i="12"/>
  <c r="P49" i="12"/>
  <c r="D50" i="12"/>
  <c r="F50" i="12"/>
  <c r="H50" i="12"/>
  <c r="L50" i="12"/>
  <c r="P50" i="12"/>
  <c r="D51" i="12"/>
  <c r="F51" i="12"/>
  <c r="H51" i="12"/>
  <c r="L51" i="12"/>
  <c r="P51" i="12"/>
  <c r="D52" i="12"/>
  <c r="F52" i="12"/>
  <c r="H52" i="12"/>
  <c r="L52" i="12"/>
  <c r="P52" i="12"/>
  <c r="D53" i="12"/>
  <c r="F53" i="12"/>
  <c r="H53" i="12"/>
  <c r="L53" i="12"/>
  <c r="P53" i="12"/>
  <c r="D54" i="12"/>
  <c r="F54" i="12"/>
  <c r="H54" i="12"/>
  <c r="L54" i="12"/>
  <c r="P54" i="12"/>
  <c r="D55" i="12"/>
  <c r="F55" i="12"/>
  <c r="H55" i="12"/>
  <c r="L55" i="12"/>
  <c r="P55" i="12"/>
  <c r="D56" i="12"/>
  <c r="F56" i="12"/>
  <c r="H56" i="12"/>
  <c r="L56" i="12"/>
  <c r="P56" i="12"/>
  <c r="D57" i="12"/>
  <c r="F57" i="12"/>
  <c r="H57" i="12"/>
  <c r="L57" i="12"/>
  <c r="P57" i="12"/>
  <c r="D58" i="12"/>
  <c r="F58" i="12"/>
  <c r="H58" i="12"/>
  <c r="L58" i="12"/>
  <c r="P58" i="12"/>
  <c r="D59" i="12"/>
  <c r="F59" i="12"/>
  <c r="H59" i="12"/>
  <c r="L59" i="12"/>
  <c r="M59" i="12"/>
  <c r="P59" i="12"/>
  <c r="D60" i="12"/>
  <c r="F60" i="12"/>
  <c r="H60" i="12"/>
  <c r="L60" i="12"/>
  <c r="P60" i="12"/>
  <c r="D61" i="12"/>
  <c r="F61" i="12"/>
  <c r="H61" i="12"/>
  <c r="L61" i="12"/>
  <c r="P61" i="12"/>
  <c r="D62" i="12"/>
  <c r="F62" i="12"/>
  <c r="H62" i="12"/>
  <c r="L62" i="12"/>
  <c r="P62" i="12"/>
  <c r="D63" i="12"/>
  <c r="F63" i="12"/>
  <c r="H63" i="12"/>
  <c r="L63" i="12"/>
  <c r="P63" i="12"/>
  <c r="D64" i="12"/>
  <c r="F64" i="12"/>
  <c r="H64" i="12"/>
  <c r="L64" i="12"/>
  <c r="P64" i="12"/>
  <c r="D65" i="12"/>
  <c r="F65" i="12"/>
  <c r="H65" i="12"/>
  <c r="L65" i="12"/>
  <c r="P65" i="12"/>
  <c r="D66" i="12"/>
  <c r="F66" i="12"/>
  <c r="H66" i="12"/>
  <c r="L66" i="12"/>
  <c r="P66" i="12"/>
  <c r="D67" i="12"/>
  <c r="F67" i="12"/>
  <c r="H67" i="12"/>
  <c r="L67" i="12"/>
  <c r="P67" i="12"/>
  <c r="D68" i="12"/>
  <c r="F68" i="12"/>
  <c r="H68" i="12"/>
  <c r="L68" i="12"/>
  <c r="P68" i="12"/>
  <c r="D69" i="12"/>
  <c r="F69" i="12"/>
  <c r="H69" i="12"/>
  <c r="L69" i="12"/>
  <c r="P69" i="12"/>
  <c r="D70" i="12"/>
  <c r="F70" i="12"/>
  <c r="H70" i="12"/>
  <c r="L70" i="12"/>
  <c r="P70" i="12"/>
  <c r="D71" i="12"/>
  <c r="F71" i="12"/>
  <c r="H71" i="12"/>
  <c r="L71" i="12"/>
  <c r="P71" i="12"/>
  <c r="D72" i="12"/>
  <c r="F72" i="12"/>
  <c r="H72" i="12"/>
  <c r="L72" i="12"/>
  <c r="P72" i="12"/>
  <c r="D73" i="12"/>
  <c r="F73" i="12"/>
  <c r="H73" i="12"/>
  <c r="L73" i="12"/>
  <c r="P73" i="12"/>
  <c r="D74" i="12"/>
  <c r="F74" i="12"/>
  <c r="H74" i="12"/>
  <c r="L74" i="12"/>
  <c r="P74" i="12"/>
  <c r="D75" i="12"/>
  <c r="F75" i="12"/>
  <c r="H75" i="12"/>
  <c r="L75" i="12"/>
  <c r="P75" i="12"/>
  <c r="D76" i="12"/>
  <c r="F76" i="12"/>
  <c r="H76" i="12"/>
  <c r="L76" i="12"/>
  <c r="P76" i="12"/>
  <c r="D77" i="12"/>
  <c r="F77" i="12"/>
  <c r="H77" i="12"/>
  <c r="L77" i="12"/>
  <c r="P77" i="12"/>
  <c r="D78" i="12"/>
  <c r="F78" i="12"/>
  <c r="H78" i="12"/>
  <c r="L78" i="12"/>
  <c r="P78" i="12"/>
  <c r="E4" i="9"/>
  <c r="F4" i="9"/>
  <c r="M19" i="9"/>
  <c r="M20" i="9"/>
  <c r="M21" i="9"/>
  <c r="M22" i="9"/>
  <c r="M23" i="9"/>
  <c r="M24" i="9"/>
  <c r="M25" i="9"/>
  <c r="M26" i="9"/>
  <c r="M27" i="9"/>
  <c r="M28" i="9"/>
  <c r="M29" i="9"/>
  <c r="M33" i="9"/>
  <c r="M34" i="9"/>
  <c r="M35" i="9"/>
  <c r="M36" i="9"/>
  <c r="M37" i="9"/>
  <c r="M38" i="9"/>
  <c r="M39" i="9"/>
  <c r="M40" i="9"/>
  <c r="M41" i="9"/>
  <c r="M44" i="9"/>
  <c r="M45" i="9"/>
  <c r="M46" i="9"/>
  <c r="M47" i="9"/>
  <c r="M48" i="9"/>
  <c r="M49" i="9"/>
  <c r="M50" i="9"/>
  <c r="M51" i="9"/>
  <c r="M54" i="9"/>
  <c r="M55" i="9"/>
  <c r="M56" i="9"/>
  <c r="M57" i="9"/>
  <c r="M58" i="9"/>
  <c r="M59" i="9"/>
  <c r="M63" i="9"/>
  <c r="M64" i="9"/>
  <c r="M65" i="9"/>
  <c r="M66" i="9"/>
  <c r="M67" i="9"/>
  <c r="M68" i="9"/>
  <c r="M69" i="9"/>
  <c r="M72" i="9"/>
  <c r="M73" i="9"/>
  <c r="M74" i="9"/>
  <c r="M75" i="9"/>
  <c r="M76" i="9"/>
  <c r="M77" i="9"/>
  <c r="M80" i="9"/>
  <c r="M81" i="9"/>
  <c r="M82" i="9"/>
  <c r="M83" i="9"/>
  <c r="M84" i="9"/>
  <c r="M85" i="9"/>
  <c r="M86" i="9"/>
  <c r="M87" i="9"/>
  <c r="M88" i="9"/>
  <c r="M91" i="9"/>
  <c r="M92" i="9"/>
  <c r="M93" i="9"/>
  <c r="M94" i="9"/>
  <c r="M95" i="9"/>
  <c r="M96" i="9"/>
  <c r="M97" i="9"/>
  <c r="M98" i="9"/>
  <c r="M101" i="9"/>
  <c r="M102" i="9"/>
  <c r="M103" i="9"/>
  <c r="M104" i="9"/>
  <c r="M105" i="9"/>
  <c r="M106" i="9"/>
  <c r="M107" i="9"/>
  <c r="M110" i="9"/>
  <c r="M111" i="9"/>
  <c r="M112" i="9"/>
  <c r="M113" i="9"/>
  <c r="M114" i="9"/>
  <c r="M115" i="9"/>
  <c r="M116" i="9"/>
  <c r="M120" i="9"/>
  <c r="M121" i="9"/>
  <c r="M122" i="9"/>
  <c r="M123" i="9"/>
  <c r="M126" i="9"/>
  <c r="M127" i="9"/>
  <c r="M128" i="9"/>
  <c r="M129" i="9"/>
  <c r="M130" i="9"/>
  <c r="M131" i="9"/>
  <c r="M132" i="9"/>
  <c r="M133" i="9"/>
  <c r="M134" i="9"/>
  <c r="M137" i="9"/>
  <c r="M138" i="9"/>
  <c r="M139" i="9"/>
  <c r="M140" i="9"/>
  <c r="M141" i="9"/>
  <c r="M145" i="9"/>
  <c r="M146" i="9"/>
  <c r="M147" i="9"/>
  <c r="M148" i="9"/>
  <c r="M149" i="9"/>
  <c r="M150" i="9"/>
  <c r="M151" i="9"/>
  <c r="M154" i="9"/>
  <c r="M155" i="9"/>
  <c r="M156" i="9"/>
  <c r="M157" i="9"/>
  <c r="M158" i="9"/>
  <c r="M159" i="9"/>
  <c r="M160" i="9"/>
  <c r="M161" i="9"/>
  <c r="M164" i="9"/>
  <c r="M165" i="9"/>
  <c r="M166" i="9"/>
  <c r="M167" i="9"/>
  <c r="M168" i="9"/>
  <c r="M169" i="9"/>
  <c r="M172" i="9"/>
  <c r="M173" i="9"/>
  <c r="M174" i="9"/>
  <c r="M175" i="9"/>
  <c r="M176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6" i="9"/>
  <c r="M197" i="9"/>
  <c r="M198" i="9"/>
  <c r="M199" i="9"/>
  <c r="M200" i="9"/>
  <c r="M201" i="9"/>
  <c r="M202" i="9"/>
  <c r="M203" i="9"/>
  <c r="M207" i="9"/>
  <c r="M208" i="9"/>
  <c r="M209" i="9"/>
  <c r="M210" i="9"/>
  <c r="M211" i="9"/>
  <c r="M212" i="9"/>
  <c r="M215" i="9"/>
  <c r="M216" i="9"/>
  <c r="M217" i="9"/>
  <c r="M218" i="9"/>
  <c r="M219" i="9"/>
  <c r="M222" i="9"/>
  <c r="M223" i="9"/>
  <c r="M224" i="9"/>
  <c r="M225" i="9"/>
  <c r="M228" i="9"/>
  <c r="M229" i="9"/>
  <c r="M230" i="9"/>
  <c r="M231" i="9"/>
  <c r="M234" i="9"/>
  <c r="M235" i="9"/>
  <c r="M236" i="9"/>
  <c r="M237" i="9"/>
  <c r="M238" i="9"/>
  <c r="M239" i="9"/>
  <c r="M242" i="9"/>
  <c r="M243" i="9"/>
  <c r="M244" i="9"/>
  <c r="M245" i="9"/>
  <c r="M248" i="9"/>
  <c r="M249" i="9"/>
  <c r="M250" i="9"/>
  <c r="M251" i="9"/>
  <c r="M254" i="9"/>
  <c r="M255" i="9"/>
  <c r="M256" i="9"/>
  <c r="M257" i="9"/>
  <c r="M258" i="9"/>
  <c r="M259" i="9"/>
  <c r="M260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4" i="9"/>
  <c r="M285" i="9"/>
  <c r="M286" i="9"/>
  <c r="M287" i="9"/>
  <c r="M288" i="9"/>
  <c r="M289" i="9"/>
  <c r="M290" i="9"/>
  <c r="M293" i="9"/>
  <c r="M294" i="9"/>
  <c r="M295" i="9"/>
  <c r="M296" i="9"/>
  <c r="M297" i="9"/>
  <c r="M298" i="9"/>
  <c r="M301" i="9"/>
  <c r="M302" i="9"/>
  <c r="M303" i="9"/>
  <c r="M304" i="9"/>
  <c r="M305" i="9"/>
  <c r="M308" i="9"/>
  <c r="M309" i="9"/>
  <c r="M310" i="9"/>
  <c r="M311" i="9"/>
  <c r="M312" i="9"/>
  <c r="M313" i="9"/>
  <c r="M314" i="9"/>
  <c r="M317" i="9"/>
  <c r="M318" i="9"/>
  <c r="M319" i="9"/>
  <c r="M320" i="9"/>
  <c r="M321" i="9"/>
  <c r="M322" i="9"/>
  <c r="M323" i="9"/>
  <c r="M324" i="9"/>
  <c r="M327" i="9"/>
  <c r="M328" i="9"/>
  <c r="M329" i="9"/>
  <c r="M330" i="9"/>
  <c r="M331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50" i="9"/>
  <c r="M351" i="9"/>
  <c r="M352" i="9"/>
  <c r="M353" i="9"/>
  <c r="M354" i="9"/>
  <c r="K362" i="9"/>
  <c r="K363" i="9"/>
  <c r="K364" i="9"/>
  <c r="E4" i="13"/>
  <c r="F4" i="13"/>
  <c r="M19" i="13"/>
  <c r="M20" i="13"/>
  <c r="M21" i="13"/>
  <c r="M22" i="13"/>
  <c r="M23" i="13"/>
  <c r="M24" i="13"/>
  <c r="M27" i="13"/>
  <c r="M28" i="13"/>
  <c r="M29" i="13"/>
  <c r="M30" i="13"/>
  <c r="M31" i="13"/>
  <c r="M32" i="13"/>
  <c r="M33" i="13"/>
  <c r="M36" i="13"/>
  <c r="M37" i="13"/>
  <c r="M38" i="13"/>
  <c r="M39" i="13"/>
  <c r="M40" i="13"/>
  <c r="M41" i="13"/>
  <c r="M44" i="13"/>
  <c r="M45" i="13"/>
  <c r="M46" i="13"/>
  <c r="M47" i="13"/>
  <c r="M48" i="13"/>
  <c r="M51" i="13"/>
  <c r="M52" i="13"/>
  <c r="M53" i="13"/>
  <c r="M54" i="13"/>
  <c r="M55" i="13"/>
  <c r="M56" i="13"/>
  <c r="M59" i="13"/>
  <c r="M60" i="13"/>
  <c r="M61" i="13"/>
  <c r="M62" i="13"/>
  <c r="M63" i="13"/>
  <c r="M66" i="13"/>
  <c r="M67" i="13"/>
  <c r="M68" i="13"/>
  <c r="M69" i="13"/>
  <c r="M70" i="13"/>
  <c r="M73" i="13"/>
  <c r="M74" i="13"/>
  <c r="M75" i="13"/>
  <c r="M76" i="13"/>
  <c r="M77" i="13"/>
  <c r="M80" i="13"/>
  <c r="M81" i="13"/>
  <c r="M82" i="13"/>
  <c r="M83" i="13"/>
  <c r="M86" i="13"/>
  <c r="M87" i="13"/>
  <c r="M88" i="13"/>
  <c r="M89" i="13"/>
  <c r="M91" i="13"/>
  <c r="M93" i="13"/>
  <c r="K97" i="13"/>
  <c r="K98" i="13"/>
  <c r="K99" i="13"/>
  <c r="E4" i="7"/>
  <c r="F4" i="7"/>
  <c r="I17" i="7"/>
  <c r="M19" i="7"/>
  <c r="M20" i="7"/>
  <c r="M21" i="7"/>
  <c r="M22" i="7"/>
  <c r="M23" i="7"/>
  <c r="M24" i="7"/>
  <c r="M25" i="7"/>
  <c r="M26" i="7"/>
  <c r="M27" i="7"/>
  <c r="M28" i="7"/>
  <c r="M29" i="7"/>
  <c r="M33" i="7"/>
  <c r="M34" i="7"/>
  <c r="M35" i="7"/>
  <c r="M36" i="7"/>
  <c r="M37" i="7"/>
  <c r="M38" i="7"/>
  <c r="M39" i="7"/>
  <c r="M40" i="7"/>
  <c r="M41" i="7"/>
  <c r="M42" i="7"/>
  <c r="M45" i="7"/>
  <c r="M46" i="7"/>
  <c r="M47" i="7"/>
  <c r="M48" i="7"/>
  <c r="M49" i="7"/>
  <c r="M50" i="7"/>
  <c r="M51" i="7"/>
  <c r="M52" i="7"/>
  <c r="M55" i="7"/>
  <c r="M56" i="7"/>
  <c r="M57" i="7"/>
  <c r="M58" i="7"/>
  <c r="M59" i="7"/>
  <c r="M60" i="7"/>
  <c r="M61" i="7"/>
  <c r="M62" i="7"/>
  <c r="M65" i="7"/>
  <c r="M66" i="7"/>
  <c r="M67" i="7"/>
  <c r="M68" i="7"/>
  <c r="M69" i="7"/>
  <c r="M70" i="7"/>
  <c r="M74" i="7"/>
  <c r="M75" i="7"/>
  <c r="M76" i="7"/>
  <c r="M77" i="7"/>
  <c r="M78" i="7"/>
  <c r="M79" i="7"/>
  <c r="M80" i="7"/>
  <c r="M81" i="7"/>
  <c r="M84" i="7"/>
  <c r="M85" i="7"/>
  <c r="M86" i="7"/>
  <c r="M87" i="7"/>
  <c r="M88" i="7"/>
  <c r="M89" i="7"/>
  <c r="M90" i="7"/>
  <c r="M93" i="7"/>
  <c r="M94" i="7"/>
  <c r="M95" i="7"/>
  <c r="M96" i="7"/>
  <c r="M97" i="7"/>
  <c r="M98" i="7"/>
  <c r="M99" i="7"/>
  <c r="M100" i="7"/>
  <c r="M101" i="7"/>
  <c r="M102" i="7"/>
  <c r="M105" i="7"/>
  <c r="M106" i="7"/>
  <c r="M107" i="7"/>
  <c r="M108" i="7"/>
  <c r="M109" i="7"/>
  <c r="M110" i="7"/>
  <c r="M111" i="7"/>
  <c r="M112" i="7"/>
  <c r="M113" i="7"/>
  <c r="M116" i="7"/>
  <c r="M117" i="7"/>
  <c r="M118" i="7"/>
  <c r="M119" i="7"/>
  <c r="M120" i="7"/>
  <c r="M121" i="7"/>
  <c r="M122" i="7"/>
  <c r="M123" i="7"/>
  <c r="M126" i="7"/>
  <c r="M127" i="7"/>
  <c r="M128" i="7"/>
  <c r="M129" i="7"/>
  <c r="M130" i="7"/>
  <c r="M131" i="7"/>
  <c r="M132" i="7"/>
  <c r="M137" i="7"/>
  <c r="M138" i="7"/>
  <c r="M139" i="7"/>
  <c r="M140" i="7"/>
  <c r="M141" i="7"/>
  <c r="M144" i="7"/>
  <c r="M145" i="7"/>
  <c r="M146" i="7"/>
  <c r="M147" i="7"/>
  <c r="M148" i="7"/>
  <c r="M149" i="7"/>
  <c r="M150" i="7"/>
  <c r="M151" i="7"/>
  <c r="M152" i="7"/>
  <c r="M153" i="7"/>
  <c r="M156" i="7"/>
  <c r="M157" i="7"/>
  <c r="M158" i="7"/>
  <c r="M159" i="7"/>
  <c r="M160" i="7"/>
  <c r="M164" i="7"/>
  <c r="M165" i="7"/>
  <c r="M166" i="7"/>
  <c r="M167" i="7"/>
  <c r="M168" i="7"/>
  <c r="M169" i="7"/>
  <c r="M170" i="7"/>
  <c r="M171" i="7"/>
  <c r="M174" i="7"/>
  <c r="M175" i="7"/>
  <c r="M176" i="7"/>
  <c r="M177" i="7"/>
  <c r="M178" i="7"/>
  <c r="M179" i="7"/>
  <c r="M180" i="7"/>
  <c r="M181" i="7"/>
  <c r="M182" i="7"/>
  <c r="M185" i="7"/>
  <c r="M186" i="7"/>
  <c r="M187" i="7"/>
  <c r="M188" i="7"/>
  <c r="M189" i="7"/>
  <c r="M190" i="7"/>
  <c r="M191" i="7"/>
  <c r="M194" i="7"/>
  <c r="M195" i="7"/>
  <c r="M196" i="7"/>
  <c r="M197" i="7"/>
  <c r="M198" i="7"/>
  <c r="M199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20" i="7"/>
  <c r="M221" i="7"/>
  <c r="M222" i="7"/>
  <c r="M223" i="7"/>
  <c r="M224" i="7"/>
  <c r="M225" i="7"/>
  <c r="M226" i="7"/>
  <c r="M227" i="7"/>
  <c r="M228" i="7"/>
  <c r="M232" i="7"/>
  <c r="M233" i="7"/>
  <c r="M234" i="7"/>
  <c r="M235" i="7"/>
  <c r="M236" i="7"/>
  <c r="M237" i="7"/>
  <c r="M238" i="7"/>
  <c r="M241" i="7"/>
  <c r="M242" i="7"/>
  <c r="M243" i="7"/>
  <c r="M244" i="7"/>
  <c r="M245" i="7"/>
  <c r="M246" i="7"/>
  <c r="M249" i="7"/>
  <c r="M250" i="7"/>
  <c r="M251" i="7"/>
  <c r="M252" i="7"/>
  <c r="M253" i="7"/>
  <c r="M256" i="7"/>
  <c r="M257" i="7"/>
  <c r="M258" i="7"/>
  <c r="M259" i="7"/>
  <c r="M260" i="7"/>
  <c r="M263" i="7"/>
  <c r="M264" i="7"/>
  <c r="M265" i="7"/>
  <c r="M266" i="7"/>
  <c r="M267" i="7"/>
  <c r="M268" i="7"/>
  <c r="M271" i="7"/>
  <c r="M272" i="7"/>
  <c r="M273" i="7"/>
  <c r="M274" i="7"/>
  <c r="M277" i="7"/>
  <c r="M278" i="7"/>
  <c r="M279" i="7"/>
  <c r="M280" i="7"/>
  <c r="M283" i="7"/>
  <c r="M284" i="7"/>
  <c r="M285" i="7"/>
  <c r="M286" i="7"/>
  <c r="M287" i="7"/>
  <c r="M288" i="7"/>
  <c r="M289" i="7"/>
  <c r="M290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3" i="7"/>
  <c r="M314" i="7"/>
  <c r="M315" i="7"/>
  <c r="M316" i="7"/>
  <c r="M317" i="7"/>
  <c r="M318" i="7"/>
  <c r="M319" i="7"/>
  <c r="M322" i="7"/>
  <c r="M323" i="7"/>
  <c r="M324" i="7"/>
  <c r="M325" i="7"/>
  <c r="M326" i="7"/>
  <c r="M327" i="7"/>
  <c r="M330" i="7"/>
  <c r="M331" i="7"/>
  <c r="M332" i="7"/>
  <c r="M333" i="7"/>
  <c r="M334" i="7"/>
  <c r="M335" i="7"/>
  <c r="M338" i="7"/>
  <c r="M339" i="7"/>
  <c r="M340" i="7"/>
  <c r="M341" i="7"/>
  <c r="M342" i="7"/>
  <c r="M343" i="7"/>
  <c r="M344" i="7"/>
  <c r="M345" i="7"/>
  <c r="M348" i="7"/>
  <c r="M349" i="7"/>
  <c r="M350" i="7"/>
  <c r="M351" i="7"/>
  <c r="M352" i="7"/>
  <c r="M353" i="7"/>
  <c r="M354" i="7"/>
  <c r="M355" i="7"/>
  <c r="M358" i="7"/>
  <c r="M359" i="7"/>
  <c r="M360" i="7"/>
  <c r="M361" i="7"/>
  <c r="M362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80" i="7"/>
  <c r="M381" i="7"/>
  <c r="M382" i="7"/>
  <c r="M383" i="7"/>
  <c r="M384" i="7"/>
  <c r="M385" i="7"/>
  <c r="M386" i="7"/>
  <c r="M389" i="7"/>
  <c r="M390" i="7"/>
  <c r="M391" i="7"/>
  <c r="M392" i="7"/>
  <c r="M393" i="7"/>
  <c r="M394" i="7"/>
  <c r="M395" i="7"/>
  <c r="M396" i="7"/>
  <c r="M399" i="7"/>
  <c r="M400" i="7"/>
  <c r="M401" i="7"/>
  <c r="M402" i="7"/>
  <c r="M403" i="7"/>
  <c r="M404" i="7"/>
  <c r="M405" i="7"/>
  <c r="M406" i="7"/>
  <c r="M410" i="7"/>
  <c r="M411" i="7"/>
  <c r="M412" i="7"/>
  <c r="M413" i="7"/>
  <c r="M414" i="7"/>
  <c r="M415" i="7"/>
  <c r="M418" i="7"/>
  <c r="M419" i="7"/>
  <c r="M420" i="7"/>
  <c r="M421" i="7"/>
  <c r="M422" i="7"/>
  <c r="M423" i="7"/>
  <c r="M424" i="7"/>
  <c r="M425" i="7"/>
  <c r="M426" i="7"/>
  <c r="M427" i="7"/>
  <c r="M428" i="7"/>
  <c r="K436" i="7"/>
  <c r="K437" i="7"/>
  <c r="K438" i="7"/>
  <c r="G2" i="6"/>
  <c r="H2" i="6"/>
  <c r="T20" i="6"/>
  <c r="X20" i="6"/>
  <c r="AB20" i="6"/>
  <c r="AF20" i="6"/>
  <c r="I22" i="6"/>
  <c r="O24" i="6"/>
  <c r="K25" i="6"/>
  <c r="O27" i="6"/>
  <c r="Q27" i="6"/>
  <c r="R27" i="6"/>
  <c r="O28" i="6"/>
  <c r="Q28" i="6"/>
  <c r="R28" i="6"/>
  <c r="O29" i="6"/>
  <c r="Q29" i="6"/>
  <c r="R29" i="6"/>
  <c r="O30" i="6"/>
  <c r="Q30" i="6"/>
  <c r="O31" i="6"/>
  <c r="Q31" i="6"/>
  <c r="O32" i="6"/>
  <c r="Q32" i="6"/>
  <c r="O33" i="6"/>
  <c r="Q33" i="6"/>
  <c r="O34" i="6"/>
  <c r="Q34" i="6"/>
  <c r="O35" i="6"/>
  <c r="Q35" i="6"/>
  <c r="K36" i="6"/>
  <c r="O37" i="6"/>
  <c r="Q37" i="6"/>
  <c r="O38" i="6"/>
  <c r="Q38" i="6"/>
  <c r="O39" i="6"/>
  <c r="Q39" i="6"/>
  <c r="K40" i="6"/>
  <c r="O41" i="6"/>
  <c r="Q41" i="6"/>
  <c r="O42" i="6"/>
  <c r="Q42" i="6"/>
  <c r="O43" i="6"/>
  <c r="Q43" i="6"/>
  <c r="O44" i="6"/>
  <c r="Q44" i="6"/>
  <c r="K45" i="6"/>
  <c r="O46" i="6"/>
  <c r="Q46" i="6"/>
  <c r="O47" i="6"/>
  <c r="Q47" i="6"/>
  <c r="K48" i="6"/>
  <c r="O49" i="6"/>
  <c r="Q49" i="6"/>
  <c r="O50" i="6"/>
  <c r="Q50" i="6"/>
  <c r="R50" i="6"/>
  <c r="O51" i="6"/>
  <c r="Q51" i="6"/>
  <c r="R51" i="6"/>
  <c r="AK72" i="6"/>
  <c r="K75" i="6"/>
  <c r="J89" i="6"/>
  <c r="J90" i="6"/>
  <c r="J91" i="6"/>
  <c r="T91" i="6"/>
  <c r="X91" i="6"/>
  <c r="AB91" i="6"/>
  <c r="AF91" i="6"/>
  <c r="A42" i="1"/>
  <c r="A43" i="1"/>
  <c r="A44" i="1"/>
  <c r="A45" i="1"/>
  <c r="A46" i="1"/>
  <c r="A47" i="1"/>
  <c r="A48" i="1"/>
  <c r="A49" i="1"/>
  <c r="A50" i="1"/>
  <c r="A51" i="1"/>
  <c r="I57" i="1"/>
  <c r="N57" i="1"/>
  <c r="G69" i="1"/>
  <c r="I69" i="1"/>
  <c r="J69" i="1"/>
  <c r="K69" i="1"/>
  <c r="L69" i="1"/>
  <c r="M69" i="1"/>
  <c r="O72" i="1"/>
  <c r="B73" i="1"/>
  <c r="O73" i="1"/>
  <c r="B74" i="1"/>
  <c r="O74" i="1"/>
  <c r="B75" i="1"/>
  <c r="O75" i="1"/>
  <c r="B76" i="1"/>
  <c r="O76" i="1"/>
  <c r="B77" i="1"/>
  <c r="O77" i="1"/>
  <c r="B78" i="1"/>
  <c r="O78" i="1"/>
  <c r="B79" i="1"/>
  <c r="O79" i="1"/>
  <c r="B80" i="1"/>
  <c r="O80" i="1"/>
  <c r="B81" i="1"/>
  <c r="O81" i="1"/>
  <c r="B82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D172" i="1"/>
  <c r="G172" i="1"/>
  <c r="I172" i="1"/>
  <c r="J172" i="1"/>
  <c r="K172" i="1"/>
  <c r="L172" i="1"/>
  <c r="G174" i="1" a="1"/>
  <c r="L174" i="1" a="1"/>
  <c r="B181" i="1"/>
  <c r="F187" i="1"/>
  <c r="M187" i="1"/>
  <c r="R187" i="1"/>
  <c r="L188" i="1"/>
  <c r="N188" i="1"/>
  <c r="M190" i="1"/>
  <c r="N191" i="1"/>
  <c r="J193" i="1"/>
  <c r="M193" i="1"/>
  <c r="N194" i="1"/>
  <c r="M195" i="1"/>
  <c r="O196" i="1"/>
  <c r="J202" i="1"/>
  <c r="C223" i="1"/>
  <c r="C224" i="1"/>
  <c r="M61" i="12" l="1"/>
  <c r="M62" i="12"/>
  <c r="M64" i="12"/>
  <c r="M77" i="12"/>
  <c r="M78" i="12"/>
  <c r="M30" i="12"/>
  <c r="M63" i="12"/>
  <c r="M76" i="12"/>
  <c r="M60" i="12"/>
  <c r="N196" i="1"/>
  <c r="G199" i="1"/>
  <c r="Q200" i="1"/>
  <c r="L196" i="1"/>
  <c r="O53" i="1"/>
  <c r="J19" i="12"/>
  <c r="J23" i="12"/>
  <c r="M68" i="12"/>
  <c r="M71" i="12"/>
  <c r="M72" i="12"/>
  <c r="M66" i="12"/>
  <c r="M70" i="12"/>
  <c r="M75" i="12"/>
  <c r="M261" i="9"/>
  <c r="M356" i="9"/>
  <c r="N24" i="13"/>
  <c r="N33" i="13"/>
  <c r="N41" i="13"/>
  <c r="N48" i="13"/>
  <c r="N56" i="13"/>
  <c r="N63" i="13"/>
  <c r="N70" i="13"/>
  <c r="N77" i="13"/>
  <c r="N83" i="13"/>
  <c r="N89" i="13"/>
  <c r="L174" i="1"/>
  <c r="Q199" i="1"/>
  <c r="M67" i="12"/>
  <c r="M133" i="7"/>
  <c r="L27" i="6"/>
  <c r="AK27" i="6" s="1"/>
  <c r="L28" i="6"/>
  <c r="AK28" i="6" s="1"/>
  <c r="L29" i="6"/>
  <c r="AK29" i="6" s="1"/>
  <c r="L30" i="6"/>
  <c r="AK30" i="6" s="1"/>
  <c r="L31" i="6"/>
  <c r="AK31" i="6" s="1"/>
  <c r="L41" i="6"/>
  <c r="R47" i="6"/>
  <c r="L49" i="6"/>
  <c r="R49" i="6"/>
  <c r="L50" i="6"/>
  <c r="AK50" i="6" s="1"/>
  <c r="L51" i="6"/>
  <c r="AK51" i="6" s="1"/>
  <c r="M65" i="12"/>
  <c r="M69" i="12"/>
  <c r="M73" i="12"/>
  <c r="M74" i="12"/>
  <c r="M407" i="7"/>
  <c r="M430" i="7"/>
  <c r="L26" i="6"/>
  <c r="O26" i="6"/>
  <c r="Q26" i="6"/>
  <c r="R26" i="6" s="1"/>
  <c r="R30" i="6"/>
  <c r="R31" i="6"/>
  <c r="L32" i="6"/>
  <c r="AK32" i="6" s="1"/>
  <c r="R32" i="6"/>
  <c r="L33" i="6"/>
  <c r="AK33" i="6" s="1"/>
  <c r="R33" i="6"/>
  <c r="L34" i="6"/>
  <c r="AK34" i="6" s="1"/>
  <c r="R34" i="6"/>
  <c r="L35" i="6"/>
  <c r="AK35" i="6" s="1"/>
  <c r="R35" i="6"/>
  <c r="L37" i="6"/>
  <c r="R37" i="6"/>
  <c r="L38" i="6"/>
  <c r="AK38" i="6" s="1"/>
  <c r="R38" i="6"/>
  <c r="R41" i="6"/>
  <c r="L42" i="6"/>
  <c r="AK42" i="6" s="1"/>
  <c r="R42" i="6"/>
  <c r="L43" i="6"/>
  <c r="AK43" i="6" s="1"/>
  <c r="R43" i="6"/>
  <c r="L44" i="6"/>
  <c r="AK44" i="6" s="1"/>
  <c r="R44" i="6"/>
  <c r="L46" i="6"/>
  <c r="R46" i="6"/>
  <c r="L47" i="6"/>
  <c r="AK47" i="6" s="1"/>
  <c r="L52" i="6"/>
  <c r="AK52" i="6" s="1"/>
  <c r="O52" i="6"/>
  <c r="Q52" i="6"/>
  <c r="R52" i="6" s="1"/>
  <c r="L53" i="6"/>
  <c r="AK53" i="6" s="1"/>
  <c r="O53" i="6"/>
  <c r="Q53" i="6"/>
  <c r="R53" i="6" s="1"/>
  <c r="L54" i="6"/>
  <c r="AK54" i="6" s="1"/>
  <c r="O54" i="6"/>
  <c r="Q54" i="6"/>
  <c r="R54" i="6" s="1"/>
  <c r="L56" i="6"/>
  <c r="AK56" i="6" s="1"/>
  <c r="O56" i="6"/>
  <c r="Q56" i="6"/>
  <c r="R56" i="6" s="1"/>
  <c r="L57" i="6"/>
  <c r="AK57" i="6" s="1"/>
  <c r="O57" i="6"/>
  <c r="Q57" i="6"/>
  <c r="R57" i="6" s="1"/>
  <c r="O58" i="6"/>
  <c r="Q58" i="6"/>
  <c r="L59" i="6"/>
  <c r="AK59" i="6" s="1"/>
  <c r="O59" i="6"/>
  <c r="Q59" i="6"/>
  <c r="R59" i="6" s="1"/>
  <c r="L60" i="6"/>
  <c r="AK60" i="6" s="1"/>
  <c r="O60" i="6"/>
  <c r="Q60" i="6"/>
  <c r="R60" i="6" s="1"/>
  <c r="L61" i="6"/>
  <c r="AK61" i="6" s="1"/>
  <c r="O61" i="6"/>
  <c r="Q61" i="6"/>
  <c r="R61" i="6" s="1"/>
  <c r="L63" i="6"/>
  <c r="AK63" i="6" s="1"/>
  <c r="O63" i="6"/>
  <c r="Q63" i="6"/>
  <c r="L64" i="6"/>
  <c r="AK64" i="6" s="1"/>
  <c r="O64" i="6"/>
  <c r="Q64" i="6"/>
  <c r="R64" i="6" s="1"/>
  <c r="L65" i="6"/>
  <c r="AK65" i="6" s="1"/>
  <c r="O65" i="6"/>
  <c r="Q65" i="6"/>
  <c r="R65" i="6" s="1"/>
  <c r="L66" i="6"/>
  <c r="AK66" i="6" s="1"/>
  <c r="O66" i="6"/>
  <c r="Q66" i="6"/>
  <c r="R66" i="6" s="1"/>
  <c r="O67" i="6"/>
  <c r="Q67" i="6"/>
  <c r="O68" i="6"/>
  <c r="Q68" i="6"/>
  <c r="O69" i="6"/>
  <c r="Q69" i="6"/>
  <c r="O70" i="6"/>
  <c r="Q70" i="6"/>
  <c r="L72" i="6"/>
  <c r="O72" i="6"/>
  <c r="Q72" i="6"/>
  <c r="R72" i="6" s="1"/>
  <c r="AI72" i="6"/>
  <c r="L73" i="6"/>
  <c r="AK73" i="6" s="1"/>
  <c r="O73" i="6"/>
  <c r="Q73" i="6"/>
  <c r="R73" i="6" s="1"/>
  <c r="AI73" i="6"/>
  <c r="O74" i="6"/>
  <c r="Q74" i="6"/>
  <c r="L76" i="6"/>
  <c r="O76" i="6"/>
  <c r="Q76" i="6"/>
  <c r="R76" i="6" s="1"/>
  <c r="L77" i="6"/>
  <c r="AK77" i="6" s="1"/>
  <c r="O77" i="6"/>
  <c r="Q77" i="6"/>
  <c r="R77" i="6" s="1"/>
  <c r="L78" i="6"/>
  <c r="AK78" i="6" s="1"/>
  <c r="O78" i="6"/>
  <c r="Q78" i="6"/>
  <c r="R78" i="6" s="1"/>
  <c r="L79" i="6"/>
  <c r="AK79" i="6" s="1"/>
  <c r="O79" i="6"/>
  <c r="Q79" i="6"/>
  <c r="R79" i="6" s="1"/>
  <c r="L80" i="6"/>
  <c r="AK80" i="6" s="1"/>
  <c r="O80" i="6"/>
  <c r="Q80" i="6"/>
  <c r="R80" i="6" s="1"/>
  <c r="L81" i="6"/>
  <c r="AK81" i="6" s="1"/>
  <c r="O81" i="6"/>
  <c r="Q81" i="6"/>
  <c r="R81" i="6" s="1"/>
  <c r="L82" i="6"/>
  <c r="AK82" i="6" s="1"/>
  <c r="O82" i="6"/>
  <c r="Q82" i="6"/>
  <c r="R82" i="6" s="1"/>
  <c r="L83" i="6"/>
  <c r="AK83" i="6" s="1"/>
  <c r="O83" i="6"/>
  <c r="Q83" i="6"/>
  <c r="R83" i="6" s="1"/>
  <c r="L84" i="6"/>
  <c r="AK84" i="6" s="1"/>
  <c r="O84" i="6"/>
  <c r="Q84" i="6"/>
  <c r="R84" i="6" s="1"/>
  <c r="L85" i="6"/>
  <c r="AK85" i="6" s="1"/>
  <c r="O85" i="6"/>
  <c r="Q85" i="6"/>
  <c r="R85" i="6" s="1"/>
  <c r="C86" i="6"/>
  <c r="B83" i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O172" i="1"/>
  <c r="G174" i="1"/>
  <c r="L55" i="1" l="1"/>
  <c r="F55" i="1"/>
  <c r="F51" i="1"/>
  <c r="L51" i="1"/>
  <c r="F53" i="1"/>
  <c r="L53" i="1"/>
  <c r="I75" i="12"/>
  <c r="I74" i="12"/>
  <c r="I72" i="12"/>
  <c r="I65" i="12"/>
  <c r="I48" i="12"/>
  <c r="I42" i="12"/>
  <c r="I41" i="12"/>
  <c r="I37" i="12"/>
  <c r="I36" i="12"/>
  <c r="I73" i="12"/>
  <c r="I49" i="12"/>
  <c r="I71" i="12"/>
  <c r="I50" i="12"/>
  <c r="I47" i="12"/>
  <c r="I46" i="12"/>
  <c r="I45" i="12"/>
  <c r="I44" i="12"/>
  <c r="I40" i="12"/>
  <c r="I69" i="12"/>
  <c r="I78" i="12"/>
  <c r="I77" i="12"/>
  <c r="I76" i="12"/>
  <c r="I70" i="12"/>
  <c r="I68" i="12"/>
  <c r="I66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67" i="12"/>
  <c r="I43" i="12"/>
  <c r="I39" i="12"/>
  <c r="I38" i="12"/>
  <c r="I35" i="12"/>
  <c r="I34" i="12"/>
  <c r="I33" i="12"/>
  <c r="I32" i="12"/>
  <c r="I31" i="12"/>
  <c r="I30" i="12"/>
  <c r="L21" i="12"/>
  <c r="L20" i="12"/>
  <c r="L19" i="12"/>
  <c r="L26" i="12"/>
  <c r="L25" i="12"/>
  <c r="L24" i="12"/>
  <c r="L23" i="12"/>
  <c r="N354" i="9"/>
  <c r="N347" i="9"/>
  <c r="N261" i="9"/>
  <c r="N203" i="9"/>
  <c r="N141" i="9"/>
  <c r="N116" i="9"/>
  <c r="N59" i="9"/>
  <c r="N51" i="9"/>
  <c r="N29" i="9"/>
  <c r="M358" i="9"/>
  <c r="L40" i="6"/>
  <c r="AK41" i="6"/>
  <c r="AK40" i="6" s="1"/>
  <c r="L48" i="6"/>
  <c r="AK49" i="6"/>
  <c r="AK48" i="6" s="1"/>
  <c r="N428" i="7"/>
  <c r="N415" i="7"/>
  <c r="N407" i="7"/>
  <c r="AI50" i="6"/>
  <c r="AI49" i="6"/>
  <c r="AI47" i="6"/>
  <c r="AI39" i="6"/>
  <c r="K39" i="6" s="1"/>
  <c r="N290" i="7"/>
  <c r="N228" i="7"/>
  <c r="N160" i="7"/>
  <c r="N133" i="7"/>
  <c r="Q187" i="1"/>
  <c r="AI51" i="6"/>
  <c r="N70" i="7"/>
  <c r="N62" i="7"/>
  <c r="N29" i="7"/>
  <c r="AI85" i="6"/>
  <c r="AI84" i="6"/>
  <c r="AI83" i="6"/>
  <c r="AI82" i="6"/>
  <c r="AI81" i="6"/>
  <c r="AI80" i="6"/>
  <c r="AI79" i="6"/>
  <c r="AI78" i="6"/>
  <c r="AI77" i="6"/>
  <c r="AI76" i="6"/>
  <c r="AI74" i="6"/>
  <c r="K74" i="6" s="1"/>
  <c r="AI70" i="6"/>
  <c r="K70" i="6" s="1"/>
  <c r="AI69" i="6"/>
  <c r="K69" i="6" s="1"/>
  <c r="AI68" i="6"/>
  <c r="K68" i="6" s="1"/>
  <c r="AI67" i="6"/>
  <c r="K67" i="6" s="1"/>
  <c r="AI66" i="6"/>
  <c r="AI65" i="6"/>
  <c r="AI64" i="6"/>
  <c r="AI63" i="6"/>
  <c r="AI61" i="6"/>
  <c r="AI60" i="6"/>
  <c r="AI59" i="6"/>
  <c r="AI58" i="6"/>
  <c r="K58" i="6" s="1"/>
  <c r="AI57" i="6"/>
  <c r="AI56" i="6"/>
  <c r="AI54" i="6"/>
  <c r="AI53" i="6"/>
  <c r="AI52" i="6"/>
  <c r="AI46" i="6"/>
  <c r="AI44" i="6"/>
  <c r="AI43" i="6"/>
  <c r="AI42" i="6"/>
  <c r="AI41" i="6"/>
  <c r="AI38" i="6"/>
  <c r="AI37" i="6"/>
  <c r="AI35" i="6"/>
  <c r="AI34" i="6"/>
  <c r="AI33" i="6"/>
  <c r="AJ33" i="6" s="1"/>
  <c r="AI32" i="6"/>
  <c r="AJ32" i="6" s="1"/>
  <c r="M432" i="7"/>
  <c r="L25" i="6"/>
  <c r="AK26" i="6"/>
  <c r="AK25" i="6" s="1"/>
  <c r="L36" i="6"/>
  <c r="AK37" i="6"/>
  <c r="AK36" i="6" s="1"/>
  <c r="L45" i="6"/>
  <c r="AK46" i="6"/>
  <c r="AK45" i="6" s="1"/>
  <c r="L75" i="6"/>
  <c r="AK76" i="6"/>
  <c r="AK75" i="6" s="1"/>
  <c r="Q201" i="1"/>
  <c r="G198" i="1"/>
  <c r="M216" i="1"/>
  <c r="AI26" i="6"/>
  <c r="AJ26" i="6" s="1"/>
  <c r="AI27" i="6"/>
  <c r="AJ27" i="6" s="1"/>
  <c r="AI28" i="6"/>
  <c r="AJ28" i="6" s="1"/>
  <c r="AI29" i="6"/>
  <c r="AJ29" i="6" s="1"/>
  <c r="AI30" i="6"/>
  <c r="AJ30" i="6" s="1"/>
  <c r="AI31" i="6"/>
  <c r="AJ31" i="6" s="1"/>
  <c r="R63" i="6"/>
  <c r="J71" i="12" l="1"/>
  <c r="N71" i="12" s="1"/>
  <c r="J68" i="12"/>
  <c r="N68" i="12" s="1"/>
  <c r="J47" i="12"/>
  <c r="N47" i="12" s="1"/>
  <c r="J35" i="12"/>
  <c r="N35" i="12" s="1"/>
  <c r="J34" i="12"/>
  <c r="N34" i="12" s="1"/>
  <c r="M35" i="12" s="1"/>
  <c r="J33" i="12"/>
  <c r="N33" i="12" s="1"/>
  <c r="M34" i="12" s="1"/>
  <c r="J70" i="12"/>
  <c r="N70" i="12" s="1"/>
  <c r="J66" i="12"/>
  <c r="N66" i="12" s="1"/>
  <c r="J48" i="12"/>
  <c r="N48" i="12" s="1"/>
  <c r="J43" i="12"/>
  <c r="N43" i="12" s="1"/>
  <c r="J75" i="12"/>
  <c r="N75" i="12" s="1"/>
  <c r="J72" i="12"/>
  <c r="N72" i="12" s="1"/>
  <c r="J42" i="12"/>
  <c r="N42" i="12" s="1"/>
  <c r="J41" i="12"/>
  <c r="N41" i="12" s="1"/>
  <c r="M42" i="12" s="1"/>
  <c r="J39" i="12"/>
  <c r="N39" i="12" s="1"/>
  <c r="J38" i="12"/>
  <c r="N38" i="12" s="1"/>
  <c r="M39" i="12" s="1"/>
  <c r="J36" i="12"/>
  <c r="N36" i="12" s="1"/>
  <c r="J78" i="12"/>
  <c r="N78" i="12" s="1"/>
  <c r="J77" i="12"/>
  <c r="N77" i="12" s="1"/>
  <c r="J76" i="12"/>
  <c r="N76" i="12" s="1"/>
  <c r="J74" i="12"/>
  <c r="N74" i="12" s="1"/>
  <c r="J67" i="12"/>
  <c r="N67" i="12" s="1"/>
  <c r="J65" i="12"/>
  <c r="N65" i="12" s="1"/>
  <c r="J64" i="12"/>
  <c r="N64" i="12" s="1"/>
  <c r="J63" i="12"/>
  <c r="N63" i="12" s="1"/>
  <c r="J62" i="12"/>
  <c r="N62" i="12" s="1"/>
  <c r="J61" i="12"/>
  <c r="N61" i="12" s="1"/>
  <c r="J60" i="12"/>
  <c r="N60" i="12" s="1"/>
  <c r="J59" i="12"/>
  <c r="N59" i="12" s="1"/>
  <c r="J58" i="12"/>
  <c r="N58" i="12" s="1"/>
  <c r="J57" i="12"/>
  <c r="N57" i="12" s="1"/>
  <c r="M58" i="12" s="1"/>
  <c r="J56" i="12"/>
  <c r="N56" i="12" s="1"/>
  <c r="M57" i="12" s="1"/>
  <c r="J55" i="12"/>
  <c r="N55" i="12" s="1"/>
  <c r="M56" i="12" s="1"/>
  <c r="J54" i="12"/>
  <c r="N54" i="12" s="1"/>
  <c r="J53" i="12"/>
  <c r="N53" i="12" s="1"/>
  <c r="M54" i="12" s="1"/>
  <c r="J52" i="12"/>
  <c r="N52" i="12" s="1"/>
  <c r="M53" i="12" s="1"/>
  <c r="J51" i="12"/>
  <c r="N51" i="12" s="1"/>
  <c r="M52" i="12" s="1"/>
  <c r="J73" i="12"/>
  <c r="N73" i="12" s="1"/>
  <c r="J69" i="12"/>
  <c r="N69" i="12" s="1"/>
  <c r="J50" i="12"/>
  <c r="N50" i="12" s="1"/>
  <c r="M51" i="12" s="1"/>
  <c r="J49" i="12"/>
  <c r="N49" i="12" s="1"/>
  <c r="M50" i="12" s="1"/>
  <c r="J46" i="12"/>
  <c r="N46" i="12" s="1"/>
  <c r="J45" i="12"/>
  <c r="N45" i="12" s="1"/>
  <c r="M46" i="12" s="1"/>
  <c r="J44" i="12"/>
  <c r="N44" i="12" s="1"/>
  <c r="J40" i="12"/>
  <c r="N40" i="12" s="1"/>
  <c r="J37" i="12"/>
  <c r="N37" i="12" s="1"/>
  <c r="J32" i="12"/>
  <c r="N32" i="12" s="1"/>
  <c r="J31" i="12"/>
  <c r="N31" i="12" s="1"/>
  <c r="M32" i="12" s="1"/>
  <c r="J30" i="12"/>
  <c r="N30" i="12" s="1"/>
  <c r="M31" i="12" s="1"/>
  <c r="M204" i="1"/>
  <c r="M206" i="1" s="1"/>
  <c r="Q198" i="1"/>
  <c r="AJ34" i="6"/>
  <c r="AJ35" i="6" s="1"/>
  <c r="AJ37" i="6"/>
  <c r="K62" i="6"/>
  <c r="R67" i="6"/>
  <c r="L67" i="6"/>
  <c r="R39" i="6"/>
  <c r="L39" i="6"/>
  <c r="L70" i="6"/>
  <c r="AK70" i="6" s="1"/>
  <c r="R70" i="6"/>
  <c r="R68" i="6"/>
  <c r="L68" i="6"/>
  <c r="AK68" i="6" s="1"/>
  <c r="R69" i="6"/>
  <c r="L69" i="6"/>
  <c r="AK69" i="6" s="1"/>
  <c r="K55" i="6"/>
  <c r="R58" i="6"/>
  <c r="L58" i="6"/>
  <c r="K71" i="6"/>
  <c r="L74" i="6"/>
  <c r="R74" i="6"/>
  <c r="AJ38" i="6"/>
  <c r="AJ39" i="6" s="1"/>
  <c r="AJ41" i="6" s="1"/>
  <c r="AJ42" i="6" s="1"/>
  <c r="AJ43" i="6" s="1"/>
  <c r="AJ44" i="6" s="1"/>
  <c r="AJ46" i="6" s="1"/>
  <c r="AJ47" i="6" s="1"/>
  <c r="AJ49" i="6" s="1"/>
  <c r="AJ50" i="6" s="1"/>
  <c r="AJ51" i="6" s="1"/>
  <c r="L71" i="6"/>
  <c r="AK74" i="6"/>
  <c r="AK71" i="6" s="1"/>
  <c r="K86" i="6"/>
  <c r="M47" i="12" l="1"/>
  <c r="M44" i="12"/>
  <c r="M40" i="12"/>
  <c r="M37" i="12"/>
  <c r="AK39" i="6"/>
  <c r="AK58" i="6"/>
  <c r="AK55" i="6" s="1"/>
  <c r="L55" i="6"/>
  <c r="M49" i="12"/>
  <c r="N207" i="1"/>
  <c r="L207" i="1"/>
  <c r="M43" i="12"/>
  <c r="M55" i="12"/>
  <c r="M45" i="12"/>
  <c r="M41" i="12"/>
  <c r="M38" i="12"/>
  <c r="M33" i="12"/>
  <c r="AJ52" i="6"/>
  <c r="AJ53" i="6" s="1"/>
  <c r="AJ54" i="6" s="1"/>
  <c r="AJ56" i="6" s="1"/>
  <c r="AJ57" i="6" s="1"/>
  <c r="AJ58" i="6" s="1"/>
  <c r="AJ59" i="6" s="1"/>
  <c r="AJ60" i="6" s="1"/>
  <c r="AJ61" i="6" s="1"/>
  <c r="AJ63" i="6" s="1"/>
  <c r="AJ64" i="6" s="1"/>
  <c r="AJ65" i="6" s="1"/>
  <c r="AJ66" i="6" s="1"/>
  <c r="AJ67" i="6" s="1"/>
  <c r="AJ68" i="6" s="1"/>
  <c r="AJ69" i="6" s="1"/>
  <c r="AJ70" i="6" s="1"/>
  <c r="AJ72" i="6" s="1"/>
  <c r="AJ73" i="6" s="1"/>
  <c r="AJ74" i="6" s="1"/>
  <c r="AJ76" i="6" s="1"/>
  <c r="AJ77" i="6" s="1"/>
  <c r="AJ78" i="6" s="1"/>
  <c r="AJ79" i="6" s="1"/>
  <c r="AJ80" i="6" s="1"/>
  <c r="AJ81" i="6" s="1"/>
  <c r="AJ82" i="6" s="1"/>
  <c r="AJ83" i="6" s="1"/>
  <c r="AJ84" i="6" s="1"/>
  <c r="AJ85" i="6" s="1"/>
  <c r="L62" i="6"/>
  <c r="AK67" i="6"/>
  <c r="AK62" i="6" s="1"/>
  <c r="M48" i="12"/>
  <c r="M36" i="12"/>
  <c r="M45" i="6" l="1"/>
  <c r="M71" i="6"/>
  <c r="M55" i="6"/>
  <c r="M36" i="6"/>
  <c r="M75" i="6"/>
  <c r="M62" i="6"/>
  <c r="M40" i="6"/>
  <c r="AK86" i="6"/>
  <c r="AK87" i="6" s="1"/>
  <c r="M25" i="6"/>
  <c r="L86" i="6"/>
  <c r="M48" i="6"/>
  <c r="M3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Caixa</author>
    <author>Livia</author>
    <author>Bertu</author>
  </authors>
  <commentList>
    <comment ref="I30" authorId="0" shapeId="0" xr:uid="{526418C5-A603-4C86-B35F-2720F0553434}">
      <text>
        <r>
          <rPr>
            <b/>
            <sz val="9"/>
            <color indexed="81"/>
            <rFont val="Calibri"/>
            <family val="2"/>
          </rPr>
          <t>Preencher apenas com caracteres numéricos.</t>
        </r>
      </text>
    </comment>
    <comment ref="E45" authorId="1" shapeId="0" xr:uid="{29BB019C-0B5C-408F-AA7A-8F98AE9A1754}">
      <text>
        <r>
          <rPr>
            <b/>
            <sz val="9"/>
            <color indexed="81"/>
            <rFont val="Tahoma"/>
            <family val="2"/>
          </rPr>
          <t>Caixa:</t>
        </r>
        <r>
          <rPr>
            <sz val="9"/>
            <color indexed="81"/>
            <rFont val="Tahoma"/>
            <family val="2"/>
          </rPr>
          <t xml:space="preserve">
De acordo com o padrão definido na análise de custos pela tabela da NBR 12.721.
</t>
        </r>
      </text>
    </comment>
    <comment ref="E47" authorId="1" shapeId="0" xr:uid="{B3EED50A-0048-43B6-8FF6-D3F37ECDF88E}">
      <text>
        <r>
          <rPr>
            <b/>
            <sz val="9"/>
            <color indexed="81"/>
            <rFont val="Tahoma"/>
            <family val="2"/>
          </rPr>
          <t>Caixa:</t>
        </r>
        <r>
          <rPr>
            <sz val="9"/>
            <color indexed="81"/>
            <rFont val="Tahoma"/>
            <family val="2"/>
          </rPr>
          <t xml:space="preserve">
Conforme projeto/ memorial.
- CONVENCIONAL: que possui norma técnica prescritiva e uso consagrado.
- NÃO CONVENCIONAL: que possui norma prescritiva mas não é usual ou não tem seu uso consagrado no país.
- INOVADOR: que não possui norma prescritiva.</t>
        </r>
      </text>
    </comment>
    <comment ref="B49" authorId="1" shapeId="0" xr:uid="{83ADEB24-EB35-4160-9A97-A6D536B59067}">
      <text>
        <r>
          <rPr>
            <b/>
            <sz val="9"/>
            <color indexed="81"/>
            <rFont val="Tahoma"/>
            <family val="2"/>
          </rPr>
          <t>Caixa:</t>
        </r>
        <r>
          <rPr>
            <sz val="9"/>
            <color indexed="81"/>
            <rFont val="Tahoma"/>
            <family val="2"/>
          </rPr>
          <t xml:space="preserve">
Verificar as coordanadas em vistoria, não copiar da FRE.</t>
        </r>
      </text>
    </comment>
    <comment ref="K51" authorId="1" shapeId="0" xr:uid="{43227823-D615-480F-A2E3-BB0B16737E98}">
      <text>
        <r>
          <rPr>
            <b/>
            <sz val="9"/>
            <color indexed="81"/>
            <rFont val="Tahoma"/>
            <family val="2"/>
          </rPr>
          <t>Caixa:</t>
        </r>
        <r>
          <rPr>
            <sz val="9"/>
            <color indexed="81"/>
            <rFont val="Tahoma"/>
            <family val="2"/>
          </rPr>
          <t xml:space="preserve">
Área do Sistema Viário que será transferida ao poder público.</t>
        </r>
      </text>
    </comment>
    <comment ref="K53" authorId="1" shapeId="0" xr:uid="{76CCF2F9-C653-48B5-8890-1BA6A1514603}">
      <text>
        <r>
          <rPr>
            <b/>
            <sz val="9"/>
            <color indexed="81"/>
            <rFont val="Tahoma"/>
            <family val="2"/>
          </rPr>
          <t>Caixa:</t>
        </r>
        <r>
          <rPr>
            <sz val="9"/>
            <color indexed="81"/>
            <rFont val="Tahoma"/>
            <family val="2"/>
          </rPr>
          <t xml:space="preserve">
Área que será transferida ao poder público.</t>
        </r>
      </text>
    </comment>
    <comment ref="K55" authorId="1" shapeId="0" xr:uid="{8EA73850-D7B6-48E5-8129-2A014F979402}">
      <text>
        <r>
          <rPr>
            <b/>
            <sz val="9"/>
            <color indexed="81"/>
            <rFont val="Tahoma"/>
            <family val="2"/>
          </rPr>
          <t>Caixa:</t>
        </r>
        <r>
          <rPr>
            <sz val="9"/>
            <color indexed="81"/>
            <rFont val="Tahoma"/>
            <family val="2"/>
          </rPr>
          <t xml:space="preserve">
Área de Equipamentos Públicos (de uso institucional)</t>
        </r>
      </text>
    </comment>
    <comment ref="C69" authorId="2" shapeId="0" xr:uid="{2C8F45FB-F90F-4035-87CB-086B2CD441B5}">
      <text>
        <r>
          <rPr>
            <b/>
            <sz val="9"/>
            <color indexed="81"/>
            <rFont val="Segoe UI"/>
            <family val="2"/>
          </rPr>
          <t>Caixa:</t>
        </r>
        <r>
          <rPr>
            <sz val="9"/>
            <color indexed="81"/>
            <rFont val="Segoe UI"/>
            <family val="2"/>
          </rPr>
          <t xml:space="preserve">
Demarcar as unidades comerciais com "C", se for o caso
</t>
        </r>
      </text>
    </comment>
    <comment ref="D174" authorId="3" shapeId="0" xr:uid="{FAB8DDB6-76A0-4B96-8910-72ED3093FDD9}">
      <text>
        <r>
          <rPr>
            <b/>
            <sz val="9"/>
            <color indexed="81"/>
            <rFont val="Segoe UI"/>
            <family val="2"/>
          </rPr>
          <t>Cálculo automático, não alterar</t>
        </r>
      </text>
    </comment>
    <comment ref="H174" authorId="3" shapeId="0" xr:uid="{45CC8294-7AC8-4A02-8108-7B6C997AAA68}">
      <text>
        <r>
          <rPr>
            <b/>
            <sz val="9"/>
            <color indexed="81"/>
            <rFont val="Segoe UI"/>
            <family val="2"/>
          </rPr>
          <t>Cálculo automático, não alterar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189" authorId="1" shapeId="0" xr:uid="{8B057E67-D96E-4CFD-A73F-0A354124F505}">
      <text>
        <r>
          <rPr>
            <sz val="9"/>
            <color indexed="81"/>
            <rFont val="Tahoma"/>
            <family val="2"/>
          </rPr>
          <t xml:space="preserve">Caso a proposta seja para </t>
        </r>
        <r>
          <rPr>
            <b/>
            <sz val="9"/>
            <color indexed="81"/>
            <rFont val="Tahoma"/>
            <family val="2"/>
          </rPr>
          <t>PRODULOTE</t>
        </r>
        <r>
          <rPr>
            <sz val="9"/>
            <color indexed="81"/>
            <rFont val="Tahoma"/>
            <family val="2"/>
          </rPr>
          <t xml:space="preserve"> a infra deve obrigatóriamente ser apresentada em separado da habitação.</t>
        </r>
      </text>
    </comment>
  </commentList>
</comments>
</file>

<file path=xl/sharedStrings.xml><?xml version="1.0" encoding="utf-8"?>
<sst xmlns="http://schemas.openxmlformats.org/spreadsheetml/2006/main" count="1796" uniqueCount="902">
  <si>
    <t>Apoio à Produção de Imóveis - Pessoa Jurídica</t>
  </si>
  <si>
    <t>Programa:</t>
  </si>
  <si>
    <t>PEC / MPE</t>
  </si>
  <si>
    <t>Nome do Empreendimento</t>
  </si>
  <si>
    <t>Complemento</t>
  </si>
  <si>
    <t>Bairro</t>
  </si>
  <si>
    <t>Município</t>
  </si>
  <si>
    <t>UF</t>
  </si>
  <si>
    <t>CEP</t>
  </si>
  <si>
    <t>CNPJ/CPF</t>
  </si>
  <si>
    <t>Construtora</t>
  </si>
  <si>
    <t>Responsável técnico</t>
  </si>
  <si>
    <t>CPF/CNPJ</t>
  </si>
  <si>
    <t>Nome para contato</t>
  </si>
  <si>
    <t>Telefone</t>
  </si>
  <si>
    <t>Área total equivalente do empreendimento (total da col. 38):</t>
  </si>
  <si>
    <t>Área total de construção do empreendimento (total da col. 37):</t>
  </si>
  <si>
    <t>Tipo do empreendimento:</t>
  </si>
  <si>
    <t>Casas</t>
  </si>
  <si>
    <t>unidades</t>
  </si>
  <si>
    <t>Apartamentos</t>
  </si>
  <si>
    <t>Padrão de acabamento:</t>
  </si>
  <si>
    <t>Processo construtivo:</t>
  </si>
  <si>
    <t>Descrição do empreendimento (tipologias, blocos, equipamentos de uso comum, lazer e infraestrutura):</t>
  </si>
  <si>
    <t>m²</t>
  </si>
  <si>
    <t>Área Non Edificandi</t>
  </si>
  <si>
    <t>Área total do terreno</t>
  </si>
  <si>
    <t>Área de APP</t>
  </si>
  <si>
    <t>Área do sistema viário</t>
  </si>
  <si>
    <t>Área de praças/áreas verdes</t>
  </si>
  <si>
    <t>Área de outros equipamentos</t>
  </si>
  <si>
    <t xml:space="preserve">Prazo de obras previsto no cronograma: </t>
  </si>
  <si>
    <t>meses</t>
  </si>
  <si>
    <t>% de obra executada:</t>
  </si>
  <si>
    <t>Descrição de estágio de obras e benfeitorias executadas</t>
  </si>
  <si>
    <t>Fonte de referência</t>
  </si>
  <si>
    <t>Indique a fonte:</t>
  </si>
  <si>
    <t>Data base dos custos:</t>
  </si>
  <si>
    <t>/m²</t>
  </si>
  <si>
    <t>Edificações</t>
  </si>
  <si>
    <t>Custo direto</t>
  </si>
  <si>
    <t>BDI</t>
  </si>
  <si>
    <t>Custo global</t>
  </si>
  <si>
    <t>Infraestrutura e urbanização</t>
  </si>
  <si>
    <t>Equipamentos comunitários</t>
  </si>
  <si>
    <t>Custo total das obras</t>
  </si>
  <si>
    <t>A infra foi orçada na forma analítica e separada das edificações?</t>
  </si>
  <si>
    <t>Despesas de comercialização</t>
  </si>
  <si>
    <t>Segurança adicional</t>
  </si>
  <si>
    <t>Total de outras despesas</t>
  </si>
  <si>
    <t>Outras despesas</t>
  </si>
  <si>
    <t>Custo total de empreendimento</t>
  </si>
  <si>
    <t>VGV - Valor global de vendas</t>
  </si>
  <si>
    <t>Custos não incidentes</t>
  </si>
  <si>
    <t>Valor</t>
  </si>
  <si>
    <t>Aporte financeiro / contrapartida / CPAC</t>
  </si>
  <si>
    <t>Observações gerais</t>
  </si>
  <si>
    <t>Nome:</t>
  </si>
  <si>
    <t>CPF:</t>
  </si>
  <si>
    <t>CREA/CAU:</t>
  </si>
  <si>
    <t>(escolha)</t>
  </si>
  <si>
    <t>Alocação de Recursos em Construção</t>
  </si>
  <si>
    <t>Quantidade</t>
  </si>
  <si>
    <t>Custo total</t>
  </si>
  <si>
    <t>Datum:</t>
  </si>
  <si>
    <t>Latitude:</t>
  </si>
  <si>
    <t>Longitude (oeste):</t>
  </si>
  <si>
    <t>Área líquida do terreno</t>
  </si>
  <si>
    <t>/UH</t>
  </si>
  <si>
    <t>FRE - Ficha Resumo do Empreendimento - Habitação</t>
  </si>
  <si>
    <t>Valores das unidades</t>
  </si>
  <si>
    <t>Descrição</t>
  </si>
  <si>
    <t>Qtidade</t>
  </si>
  <si>
    <t>VGV</t>
  </si>
  <si>
    <t>Assinatura do proponente</t>
  </si>
  <si>
    <t>Data:</t>
  </si>
  <si>
    <t>Local:</t>
  </si>
  <si>
    <t>Tipologia:</t>
  </si>
  <si>
    <t>Habitacional horizontal</t>
  </si>
  <si>
    <t>Vertical: habit. / salas / misto</t>
  </si>
  <si>
    <t>Vertical andar livre</t>
  </si>
  <si>
    <t>Vertical parede de concreto</t>
  </si>
  <si>
    <t>Item</t>
  </si>
  <si>
    <t>Serviço</t>
  </si>
  <si>
    <t>1.1</t>
  </si>
  <si>
    <t>serviços técnicos (projetos, orçamentos, levant. topog., sondagem, licenças e PCMAT)</t>
  </si>
  <si>
    <t>1.2</t>
  </si>
  <si>
    <t>instalações e canteiros (barracão, cercamento e placa da obra)</t>
  </si>
  <si>
    <t>1.3</t>
  </si>
  <si>
    <t>ligações provisórias (água, energia, telefone e esgoto)</t>
  </si>
  <si>
    <t>1.4</t>
  </si>
  <si>
    <t>manutenção canteiro/consumo</t>
  </si>
  <si>
    <t>1.5</t>
  </si>
  <si>
    <t>transportes máquinas e equipamentos</t>
  </si>
  <si>
    <t>1.6</t>
  </si>
  <si>
    <t>controle tecnológico</t>
  </si>
  <si>
    <t>1.7</t>
  </si>
  <si>
    <t>gestão de resíduos</t>
  </si>
  <si>
    <t>1.8</t>
  </si>
  <si>
    <t>gestão da qualidade</t>
  </si>
  <si>
    <t>1.9</t>
  </si>
  <si>
    <t>equipamentos de proteção coletivos</t>
  </si>
  <si>
    <t>1.10</t>
  </si>
  <si>
    <t>administração local (engenheiros, mestres, etc.)</t>
  </si>
  <si>
    <t>FUNDAÇÃO E CONTENÇÕES</t>
  </si>
  <si>
    <t>2.1</t>
  </si>
  <si>
    <t>Fundações</t>
  </si>
  <si>
    <t>2.2</t>
  </si>
  <si>
    <t>Contenções/arrimos especiais</t>
  </si>
  <si>
    <t>SUPRAESTRUTURA</t>
  </si>
  <si>
    <t>PAREDES E PAINÉIS</t>
  </si>
  <si>
    <t>4.1</t>
  </si>
  <si>
    <t>alvenaria / fechamentos</t>
  </si>
  <si>
    <t>4.2</t>
  </si>
  <si>
    <t>esquadrias metálicas</t>
  </si>
  <si>
    <t>4.3</t>
  </si>
  <si>
    <t>esquadrias de madeira</t>
  </si>
  <si>
    <t>4.4</t>
  </si>
  <si>
    <t>vidros / esquadrias especiais</t>
  </si>
  <si>
    <t>5.1</t>
  </si>
  <si>
    <t>telhados</t>
  </si>
  <si>
    <t>5.2</t>
  </si>
  <si>
    <t>impermeabilizações</t>
  </si>
  <si>
    <t>REVESTIMENTOS</t>
  </si>
  <si>
    <t>6.1</t>
  </si>
  <si>
    <t>revestimentos internos</t>
  </si>
  <si>
    <t>6.2</t>
  </si>
  <si>
    <t>azulejos</t>
  </si>
  <si>
    <t>6.3</t>
  </si>
  <si>
    <t>revestimentos externos</t>
  </si>
  <si>
    <t>6.4</t>
  </si>
  <si>
    <t>forros</t>
  </si>
  <si>
    <t>6.5</t>
  </si>
  <si>
    <t>pinturas</t>
  </si>
  <si>
    <t>6.6</t>
  </si>
  <si>
    <t>especiais / elementos fachadas</t>
  </si>
  <si>
    <t>PAVIMENTAÇÃO</t>
  </si>
  <si>
    <t>7.1</t>
  </si>
  <si>
    <t>madeira</t>
  </si>
  <si>
    <t>7.2</t>
  </si>
  <si>
    <t>cerâmica</t>
  </si>
  <si>
    <t>7.3</t>
  </si>
  <si>
    <t>carpete</t>
  </si>
  <si>
    <t>7.4</t>
  </si>
  <si>
    <t>cimentados</t>
  </si>
  <si>
    <t>7.5</t>
  </si>
  <si>
    <t>rodapés, soleiras e peitoris</t>
  </si>
  <si>
    <t>7.6</t>
  </si>
  <si>
    <t>pavimentações especiais</t>
  </si>
  <si>
    <t xml:space="preserve">INSTALAÇÕES </t>
  </si>
  <si>
    <t>8.1</t>
  </si>
  <si>
    <t>elétricas / telefônicas</t>
  </si>
  <si>
    <t>8.2</t>
  </si>
  <si>
    <t>8.3</t>
  </si>
  <si>
    <t>sanitárias / pluvial</t>
  </si>
  <si>
    <t>8.4</t>
  </si>
  <si>
    <t>aparelhos, metais e bancadas</t>
  </si>
  <si>
    <t>8.5</t>
  </si>
  <si>
    <t>elevadores / bombas</t>
  </si>
  <si>
    <t>8.6</t>
  </si>
  <si>
    <t>climatização</t>
  </si>
  <si>
    <t>8.7</t>
  </si>
  <si>
    <t>lógica</t>
  </si>
  <si>
    <t>8.8</t>
  </si>
  <si>
    <t>especiais</t>
  </si>
  <si>
    <t>COMPLEMENTAÇÕES</t>
  </si>
  <si>
    <t>9.1</t>
  </si>
  <si>
    <t>calafete / limpeza</t>
  </si>
  <si>
    <t>9.2</t>
  </si>
  <si>
    <t>ligações definitivas</t>
  </si>
  <si>
    <t>9.3</t>
  </si>
  <si>
    <t>outros</t>
  </si>
  <si>
    <t>Incidência</t>
  </si>
  <si>
    <t>Custo</t>
  </si>
  <si>
    <t>Assinatura do responsável técnico</t>
  </si>
  <si>
    <t>10.1</t>
  </si>
  <si>
    <t>terraplenagem</t>
  </si>
  <si>
    <t>10.2</t>
  </si>
  <si>
    <t>água potável</t>
  </si>
  <si>
    <t>10.3</t>
  </si>
  <si>
    <t>esgoto sanitário</t>
  </si>
  <si>
    <t>10.4</t>
  </si>
  <si>
    <t>10.5</t>
  </si>
  <si>
    <t>10.6</t>
  </si>
  <si>
    <t>10.7</t>
  </si>
  <si>
    <t>telefone</t>
  </si>
  <si>
    <t>10.8</t>
  </si>
  <si>
    <t>gás</t>
  </si>
  <si>
    <t>10.9</t>
  </si>
  <si>
    <t>obras especiais</t>
  </si>
  <si>
    <t>10.10</t>
  </si>
  <si>
    <t>mínimo</t>
  </si>
  <si>
    <t>máximo infra sintética</t>
  </si>
  <si>
    <t>máximo infra analítica</t>
  </si>
  <si>
    <t>Status</t>
  </si>
  <si>
    <t>a</t>
  </si>
  <si>
    <t>itens finais míminos</t>
  </si>
  <si>
    <t>50% 1.4 ao 1.10</t>
  </si>
  <si>
    <t>70% 8.1 ao 8.3</t>
  </si>
  <si>
    <t>100% 4.2 em diante</t>
  </si>
  <si>
    <t>% acumulado</t>
  </si>
  <si>
    <t>1</t>
  </si>
  <si>
    <t>Consumos</t>
  </si>
  <si>
    <t>Limpeza da Obra</t>
  </si>
  <si>
    <t>Transportes</t>
  </si>
  <si>
    <t>2.1.1</t>
  </si>
  <si>
    <t>Demolições</t>
  </si>
  <si>
    <t>2.1.2</t>
  </si>
  <si>
    <t>Limpeza do terreno</t>
  </si>
  <si>
    <t>2.1.3</t>
  </si>
  <si>
    <t>Escavações mecânicas</t>
  </si>
  <si>
    <t xml:space="preserve">Trabalhos em </t>
  </si>
  <si>
    <t>2.1.4</t>
  </si>
  <si>
    <t>Escavaçoes manuais</t>
  </si>
  <si>
    <t>2.1.5</t>
  </si>
  <si>
    <t>Aterro e apiloamento</t>
  </si>
  <si>
    <t>2.1.6</t>
  </si>
  <si>
    <t>Locação da Obra</t>
  </si>
  <si>
    <t>2.1.7</t>
  </si>
  <si>
    <t>Desmonte em Rocha</t>
  </si>
  <si>
    <t>2.2.1</t>
  </si>
  <si>
    <t>Escoramento do Terreno vizinho</t>
  </si>
  <si>
    <t>2.2.2</t>
  </si>
  <si>
    <t>Reb. Lençol Freático/Drenagem</t>
  </si>
  <si>
    <t>2.2.3</t>
  </si>
  <si>
    <t>Fundações Profundas</t>
  </si>
  <si>
    <t>2.2.4</t>
  </si>
  <si>
    <t>Fundações Superficiais</t>
  </si>
  <si>
    <t>2.2.5</t>
  </si>
  <si>
    <t>Vigas, Baldrames e Alavancas</t>
  </si>
  <si>
    <t>2.2.6</t>
  </si>
  <si>
    <t>3.1</t>
  </si>
  <si>
    <t>Concreto Armado</t>
  </si>
  <si>
    <t>3.2</t>
  </si>
  <si>
    <t>Pré-moldados</t>
  </si>
  <si>
    <t>3.3</t>
  </si>
  <si>
    <t>3.4</t>
  </si>
  <si>
    <t>3.5</t>
  </si>
  <si>
    <t>4.1.1</t>
  </si>
  <si>
    <t>Tijolo furado</t>
  </si>
  <si>
    <t>4.1.2</t>
  </si>
  <si>
    <t>Tijolo maciço</t>
  </si>
  <si>
    <t>4.1.3</t>
  </si>
  <si>
    <t>Bloco estrutural</t>
  </si>
  <si>
    <t>4.1.4</t>
  </si>
  <si>
    <t>Paredes de Concreto</t>
  </si>
  <si>
    <t>4.1.5</t>
  </si>
  <si>
    <t>Vergas de Concreto</t>
  </si>
  <si>
    <t>4.1.6</t>
  </si>
  <si>
    <t>Arremates e Cunhas</t>
  </si>
  <si>
    <t>4.1.7</t>
  </si>
  <si>
    <t>Janelas</t>
  </si>
  <si>
    <t>Portas</t>
  </si>
  <si>
    <t>Basculantes</t>
  </si>
  <si>
    <t>Gradis</t>
  </si>
  <si>
    <t>Portões</t>
  </si>
  <si>
    <t>Porta corta-fogo</t>
  </si>
  <si>
    <t>Escada Marinheiro</t>
  </si>
  <si>
    <t>4.3.1</t>
  </si>
  <si>
    <t>Porta entrada 80x210cm</t>
  </si>
  <si>
    <t>4.3.2</t>
  </si>
  <si>
    <t>Portas internas 80x210cm</t>
  </si>
  <si>
    <t>4.3.3</t>
  </si>
  <si>
    <t>Portas internas 70x210cm</t>
  </si>
  <si>
    <t>4.3.4</t>
  </si>
  <si>
    <t>Portas internas 60x210cm</t>
  </si>
  <si>
    <t>4.3.5</t>
  </si>
  <si>
    <t>Batentes</t>
  </si>
  <si>
    <t>4.3.6</t>
  </si>
  <si>
    <t>Guarnições/alizares</t>
  </si>
  <si>
    <t>4.3.7</t>
  </si>
  <si>
    <t>4.4.1</t>
  </si>
  <si>
    <t>Conj. para porta social</t>
  </si>
  <si>
    <t>4.4.2</t>
  </si>
  <si>
    <t>Conj. para porta de serviço</t>
  </si>
  <si>
    <t>4.4.3</t>
  </si>
  <si>
    <t>Conj. para porta interna</t>
  </si>
  <si>
    <t>4.4.4</t>
  </si>
  <si>
    <t>Conj. para porta banheiro</t>
  </si>
  <si>
    <t>4.4.5</t>
  </si>
  <si>
    <t>Conj. porta de garagem</t>
  </si>
  <si>
    <t>4.4.6</t>
  </si>
  <si>
    <t>Dobradiças</t>
  </si>
  <si>
    <t>4.5.1</t>
  </si>
  <si>
    <t>Lisos</t>
  </si>
  <si>
    <t>4.5.2</t>
  </si>
  <si>
    <t>Fantasia</t>
  </si>
  <si>
    <t>4.5.3</t>
  </si>
  <si>
    <t>Temperado/Laminado</t>
  </si>
  <si>
    <t>4.5.4</t>
  </si>
  <si>
    <t>Tijolo de vidro</t>
  </si>
  <si>
    <t>4.5.5</t>
  </si>
  <si>
    <t>Plásticos e Acrílicos</t>
  </si>
  <si>
    <t>5.1.1</t>
  </si>
  <si>
    <t>Estrutura para telhado</t>
  </si>
  <si>
    <t>5.1.2</t>
  </si>
  <si>
    <t>Telhas</t>
  </si>
  <si>
    <t>5.1.3</t>
  </si>
  <si>
    <t>Calhas e Rufos</t>
  </si>
  <si>
    <t>5.1.4</t>
  </si>
  <si>
    <t>5.2.1</t>
  </si>
  <si>
    <t>Terraços e Coberturas</t>
  </si>
  <si>
    <t>5.2.2</t>
  </si>
  <si>
    <t>Calhas</t>
  </si>
  <si>
    <t>5.2.3</t>
  </si>
  <si>
    <t>Caixa D'água</t>
  </si>
  <si>
    <t>5.2.4</t>
  </si>
  <si>
    <t>Pisos e paredes de Sub-solo</t>
  </si>
  <si>
    <t>5.2.5</t>
  </si>
  <si>
    <t>Poço Elevador</t>
  </si>
  <si>
    <t>5.2.6</t>
  </si>
  <si>
    <t>Jardineiras</t>
  </si>
  <si>
    <t>5.2.7</t>
  </si>
  <si>
    <t>Varandas</t>
  </si>
  <si>
    <t>5.2.8</t>
  </si>
  <si>
    <t>Boxes Banheiros</t>
  </si>
  <si>
    <t>5.2.9</t>
  </si>
  <si>
    <t>5.3.1</t>
  </si>
  <si>
    <t>Isolamento Térmico</t>
  </si>
  <si>
    <t>5.3.2</t>
  </si>
  <si>
    <t>Isolamento Acústico</t>
  </si>
  <si>
    <t>5.3.3</t>
  </si>
  <si>
    <t>5.3.4</t>
  </si>
  <si>
    <t>6.1.1</t>
  </si>
  <si>
    <t>Chapisco</t>
  </si>
  <si>
    <t>6.1.2</t>
  </si>
  <si>
    <t>Emboço</t>
  </si>
  <si>
    <t>6.1.3</t>
  </si>
  <si>
    <t>Reboco</t>
  </si>
  <si>
    <t>6.1.4</t>
  </si>
  <si>
    <t>6.1.5</t>
  </si>
  <si>
    <t>Reboco pronto</t>
  </si>
  <si>
    <t>6.1.6</t>
  </si>
  <si>
    <t>Gesso</t>
  </si>
  <si>
    <t>6.1.7</t>
  </si>
  <si>
    <t>6.2.1</t>
  </si>
  <si>
    <t>6.2.2</t>
  </si>
  <si>
    <t>6.2.3</t>
  </si>
  <si>
    <t>Azulejo Branco</t>
  </si>
  <si>
    <t>6.2.4</t>
  </si>
  <si>
    <t>Azulejo em cor</t>
  </si>
  <si>
    <t>Azulejos</t>
  </si>
  <si>
    <t>6.2.5</t>
  </si>
  <si>
    <t>Azulejo Decorado</t>
  </si>
  <si>
    <t>6.2.6</t>
  </si>
  <si>
    <t xml:space="preserve">Cantoneiras </t>
  </si>
  <si>
    <t>6.2.7</t>
  </si>
  <si>
    <t>Rejuntamento</t>
  </si>
  <si>
    <t>6.2.8</t>
  </si>
  <si>
    <t>Emboço Paulista</t>
  </si>
  <si>
    <t>6.4.1</t>
  </si>
  <si>
    <t>6.4.2</t>
  </si>
  <si>
    <t>Madeira</t>
  </si>
  <si>
    <t>Forros</t>
  </si>
  <si>
    <t>6.4.3</t>
  </si>
  <si>
    <t>Especial</t>
  </si>
  <si>
    <t>6.4.4</t>
  </si>
  <si>
    <t>PVC</t>
  </si>
  <si>
    <t>6.4.5</t>
  </si>
  <si>
    <t>6.5.1</t>
  </si>
  <si>
    <t>Tinta Acrílica com massa corrida</t>
  </si>
  <si>
    <t>6.5.2</t>
  </si>
  <si>
    <t>Tinta Acrílica sem massa corrida</t>
  </si>
  <si>
    <t>6.5.3</t>
  </si>
  <si>
    <t>Latéx/PVA sobre massa corrida</t>
  </si>
  <si>
    <t>6.5.4</t>
  </si>
  <si>
    <t>Latéx/PVA sem massa corrida</t>
  </si>
  <si>
    <t>6.5.5</t>
  </si>
  <si>
    <t>Caiação</t>
  </si>
  <si>
    <t>6.5.6</t>
  </si>
  <si>
    <t>Quantil</t>
  </si>
  <si>
    <t>6.5.7</t>
  </si>
  <si>
    <t>Pinturas</t>
  </si>
  <si>
    <t>6.5.8</t>
  </si>
  <si>
    <t>Verniz sobre concreto</t>
  </si>
  <si>
    <t>6.5.9</t>
  </si>
  <si>
    <t>Esquadria de madeira</t>
  </si>
  <si>
    <t>6.5.10</t>
  </si>
  <si>
    <t>Esquadria de ferro</t>
  </si>
  <si>
    <t>6.5.11</t>
  </si>
  <si>
    <t>Rodapés de madeira</t>
  </si>
  <si>
    <t>6.5.12</t>
  </si>
  <si>
    <t>Demarcação de vagas de garagem</t>
  </si>
  <si>
    <t>6.5.13</t>
  </si>
  <si>
    <t>Liquibrilho</t>
  </si>
  <si>
    <t>6.5.14</t>
  </si>
  <si>
    <t>Texturizada/Granilha</t>
  </si>
  <si>
    <t>6.5.15</t>
  </si>
  <si>
    <t>6.6.1</t>
  </si>
  <si>
    <t>Massa Pronta</t>
  </si>
  <si>
    <t>6.6.2</t>
  </si>
  <si>
    <t>Pastilhas Cerâmicas</t>
  </si>
  <si>
    <t>6.6.3</t>
  </si>
  <si>
    <t>Mármore</t>
  </si>
  <si>
    <t>6.6.4</t>
  </si>
  <si>
    <t>Pedras Decorativas</t>
  </si>
  <si>
    <t>6.6.5</t>
  </si>
  <si>
    <t>Papel de parede</t>
  </si>
  <si>
    <t>6.6.6</t>
  </si>
  <si>
    <t>Lambris</t>
  </si>
  <si>
    <t>6.6.7</t>
  </si>
  <si>
    <t>7.1.1</t>
  </si>
  <si>
    <t>Contrapiso/regularização</t>
  </si>
  <si>
    <t>7.1.2</t>
  </si>
  <si>
    <t>Tacos</t>
  </si>
  <si>
    <t>7.1.3</t>
  </si>
  <si>
    <t xml:space="preserve"> Tábua Corrida</t>
  </si>
  <si>
    <t>7.1.4</t>
  </si>
  <si>
    <t>Parquet</t>
  </si>
  <si>
    <t>7.1.5</t>
  </si>
  <si>
    <t>Laminados</t>
  </si>
  <si>
    <t>7.1.6</t>
  </si>
  <si>
    <t>7.2.1</t>
  </si>
  <si>
    <t>Contrapiso</t>
  </si>
  <si>
    <t>7.2.2</t>
  </si>
  <si>
    <t>Lisa</t>
  </si>
  <si>
    <t>7.2.3</t>
  </si>
  <si>
    <t>Decorada</t>
  </si>
  <si>
    <t>7.2.4</t>
  </si>
  <si>
    <t>7.2.5</t>
  </si>
  <si>
    <t>7.3.1</t>
  </si>
  <si>
    <t>Contrapiso / regularização</t>
  </si>
  <si>
    <t>7.3.2</t>
  </si>
  <si>
    <t>Forração</t>
  </si>
  <si>
    <t>7.3.3</t>
  </si>
  <si>
    <t>Carpete</t>
  </si>
  <si>
    <t>7.3.4</t>
  </si>
  <si>
    <t>7.4.1</t>
  </si>
  <si>
    <t>7.4.2</t>
  </si>
  <si>
    <t>Acabamento liso</t>
  </si>
  <si>
    <t>7.4.3</t>
  </si>
  <si>
    <t>Acabamento áspero</t>
  </si>
  <si>
    <t>7.4.4</t>
  </si>
  <si>
    <t>Granitina</t>
  </si>
  <si>
    <t>Cerâmica</t>
  </si>
  <si>
    <t>Cordão de Nylon</t>
  </si>
  <si>
    <t>Aluminio</t>
  </si>
  <si>
    <t>Peitoris</t>
  </si>
  <si>
    <t>Concreto pré-fab.</t>
  </si>
  <si>
    <t>Granito</t>
  </si>
  <si>
    <t>7.6.1</t>
  </si>
  <si>
    <t>7.6.2</t>
  </si>
  <si>
    <t>7.6.3</t>
  </si>
  <si>
    <t>7.6.4</t>
  </si>
  <si>
    <t>Ardósia</t>
  </si>
  <si>
    <t>7.7</t>
  </si>
  <si>
    <t>8.1.1</t>
  </si>
  <si>
    <t>Tubulação e caixas nas Lajes</t>
  </si>
  <si>
    <t>8.1.2</t>
  </si>
  <si>
    <t>Tubulação e caixas nas Alvenarias</t>
  </si>
  <si>
    <t>8.1.3</t>
  </si>
  <si>
    <t>Prumadas gerais</t>
  </si>
  <si>
    <t>8.1.4</t>
  </si>
  <si>
    <t>Enfiação áreas privativas</t>
  </si>
  <si>
    <t>8.1.5</t>
  </si>
  <si>
    <t>Enfiação prumadas/áreas comuns</t>
  </si>
  <si>
    <t>8.1.6</t>
  </si>
  <si>
    <t>Quadros de distribuição</t>
  </si>
  <si>
    <t>8.1.7</t>
  </si>
  <si>
    <t>Tomadas, Interruptores e disjuntores</t>
  </si>
  <si>
    <t>8.1.8</t>
  </si>
  <si>
    <t>Iluminação de Emergência</t>
  </si>
  <si>
    <t>8.1.9</t>
  </si>
  <si>
    <t>Luminárias (partes comuns)</t>
  </si>
  <si>
    <t>8.1.10</t>
  </si>
  <si>
    <t>Quadro medição/entrada energia</t>
  </si>
  <si>
    <t>8.1.11</t>
  </si>
  <si>
    <t>Substação Transformadora</t>
  </si>
  <si>
    <t>8.1.12</t>
  </si>
  <si>
    <t>Para-raios</t>
  </si>
  <si>
    <t>8.1.13</t>
  </si>
  <si>
    <t xml:space="preserve"> Antena Coletiva (equipos e acessórios)</t>
  </si>
  <si>
    <t>8.1.14</t>
  </si>
  <si>
    <t>Interfone</t>
  </si>
  <si>
    <t>8.1.15</t>
  </si>
  <si>
    <t>Porteiro Eletrônico</t>
  </si>
  <si>
    <t>8.1.16</t>
  </si>
  <si>
    <t>8.1.17</t>
  </si>
  <si>
    <t>Cavalete/Hidrom.</t>
  </si>
  <si>
    <t>Barrilete</t>
  </si>
  <si>
    <t>Prumadas</t>
  </si>
  <si>
    <t>Distribuição</t>
  </si>
  <si>
    <t>Prumada</t>
  </si>
  <si>
    <t>Equipamento</t>
  </si>
  <si>
    <t>Gás</t>
  </si>
  <si>
    <t>Incêndio</t>
  </si>
  <si>
    <t>Medidores</t>
  </si>
  <si>
    <t>Cilindros/Equip.</t>
  </si>
  <si>
    <t>Caixas</t>
  </si>
  <si>
    <t>Registros</t>
  </si>
  <si>
    <t>Mangueiras e metais</t>
  </si>
  <si>
    <t>Hidr.passeio</t>
  </si>
  <si>
    <t>Extintores</t>
  </si>
  <si>
    <t>8.3.1</t>
  </si>
  <si>
    <t>Prumadas - esgoto/ventilação</t>
  </si>
  <si>
    <t>8.3.2</t>
  </si>
  <si>
    <t>Ramais - esgoto</t>
  </si>
  <si>
    <t>8.3.3</t>
  </si>
  <si>
    <t>Rede Térreo - esgoto</t>
  </si>
  <si>
    <t>8.3.4</t>
  </si>
  <si>
    <t>Prumadas - pluvial</t>
  </si>
  <si>
    <t>8.3.5</t>
  </si>
  <si>
    <t>Rede Térreo - pluvial</t>
  </si>
  <si>
    <t>8.3.6</t>
  </si>
  <si>
    <t>Calhas e Ralos</t>
  </si>
  <si>
    <t>8.4.1</t>
  </si>
  <si>
    <t>Elevadores</t>
  </si>
  <si>
    <t>8.4.2</t>
  </si>
  <si>
    <t xml:space="preserve">Exaustores </t>
  </si>
  <si>
    <t>8.4.3</t>
  </si>
  <si>
    <t>8.4.4</t>
  </si>
  <si>
    <t>Vaso Sanitário</t>
  </si>
  <si>
    <t>Lavatório</t>
  </si>
  <si>
    <t>Tanque</t>
  </si>
  <si>
    <t>Bancadas</t>
  </si>
  <si>
    <t>Pia  Cozinha</t>
  </si>
  <si>
    <t>Porta papel</t>
  </si>
  <si>
    <t>8.5.2</t>
  </si>
  <si>
    <t>Porta toalha</t>
  </si>
  <si>
    <t>Cabides</t>
  </si>
  <si>
    <t>Saboneterias</t>
  </si>
  <si>
    <t>Prateleira</t>
  </si>
  <si>
    <t>Serviço de calafate e limpeza final</t>
  </si>
  <si>
    <t xml:space="preserve">Ligações </t>
  </si>
  <si>
    <t>Orçamento Analítico Habitação</t>
  </si>
  <si>
    <t>SERVIÇOS PRELIMINARES E GERAIS</t>
  </si>
  <si>
    <t>Instalações provisórias (tapumes, barracão, água, luz, esgoto e placas)</t>
  </si>
  <si>
    <t>Despesas iniciais (cópias, licenças, taxas e impostos)</t>
  </si>
  <si>
    <t>Máquinas e ferramentas (betoneira, vibrador, serra, bomba, carrinho, guincho)</t>
  </si>
  <si>
    <t>CUSTO TOTAL DO ITEM</t>
  </si>
  <si>
    <t>2.1.9</t>
  </si>
  <si>
    <t>2.1.8</t>
  </si>
  <si>
    <t>Trabalhos com terra</t>
  </si>
  <si>
    <t>Fundações e outros serviços</t>
  </si>
  <si>
    <t>2.2.7</t>
  </si>
  <si>
    <t>Alvenarias</t>
  </si>
  <si>
    <t>Esquadrias de alumínio</t>
  </si>
  <si>
    <t>4.2.1</t>
  </si>
  <si>
    <t>4.2.2</t>
  </si>
  <si>
    <t>4.2.3</t>
  </si>
  <si>
    <t>4.2.4</t>
  </si>
  <si>
    <t>4.2.5</t>
  </si>
  <si>
    <t>4.2.6</t>
  </si>
  <si>
    <t>Esquadrias de ferro</t>
  </si>
  <si>
    <t>4.3.8</t>
  </si>
  <si>
    <t>4.3.9</t>
  </si>
  <si>
    <t>Alçapão</t>
  </si>
  <si>
    <t>Esquadrias de madeira</t>
  </si>
  <si>
    <t>4.4.7</t>
  </si>
  <si>
    <t>4.4.8</t>
  </si>
  <si>
    <t>4.5</t>
  </si>
  <si>
    <t>Ferragens</t>
  </si>
  <si>
    <t>4.5.6</t>
  </si>
  <si>
    <t>4.5.7</t>
  </si>
  <si>
    <t>4.6</t>
  </si>
  <si>
    <t>Vidros e plásticos</t>
  </si>
  <si>
    <t>4.6.1</t>
  </si>
  <si>
    <t>4.6.2</t>
  </si>
  <si>
    <t>4.6.3</t>
  </si>
  <si>
    <t>4.6.4</t>
  </si>
  <si>
    <t>4.6.5</t>
  </si>
  <si>
    <t>4.6.6</t>
  </si>
  <si>
    <t>COBERTURAS E PROTEÇÕES</t>
  </si>
  <si>
    <t>Telhados</t>
  </si>
  <si>
    <t>Impermeabilizações</t>
  </si>
  <si>
    <t>5.3</t>
  </si>
  <si>
    <t>Tratamentos</t>
  </si>
  <si>
    <t>Revestimentos internos</t>
  </si>
  <si>
    <t>Revestimentos externos</t>
  </si>
  <si>
    <t>6.3.1</t>
  </si>
  <si>
    <t>6.3.2</t>
  </si>
  <si>
    <t>6.3.3</t>
  </si>
  <si>
    <t>6.3.4</t>
  </si>
  <si>
    <t>6.3.5</t>
  </si>
  <si>
    <t>6.3.6</t>
  </si>
  <si>
    <t>Verniz sobre madeira</t>
  </si>
  <si>
    <t>Revestimentos especiais</t>
  </si>
  <si>
    <t>Cimentado</t>
  </si>
  <si>
    <t>Rodapés</t>
  </si>
  <si>
    <t>7.5.1</t>
  </si>
  <si>
    <t>7.5.2</t>
  </si>
  <si>
    <t>7.5.3</t>
  </si>
  <si>
    <t>7.5.4</t>
  </si>
  <si>
    <t>7.5.5</t>
  </si>
  <si>
    <t>7.5.6</t>
  </si>
  <si>
    <t>Soleiras</t>
  </si>
  <si>
    <t>7.7.1</t>
  </si>
  <si>
    <t>7.7.2</t>
  </si>
  <si>
    <t>7.7.3</t>
  </si>
  <si>
    <t>7.7.4</t>
  </si>
  <si>
    <t>7.8</t>
  </si>
  <si>
    <t>Pavimentações especiais</t>
  </si>
  <si>
    <t>7.8.1</t>
  </si>
  <si>
    <t>7.8.2</t>
  </si>
  <si>
    <t>7.8.3</t>
  </si>
  <si>
    <t>7.8.4</t>
  </si>
  <si>
    <t>7.8.5</t>
  </si>
  <si>
    <t>7.8.6</t>
  </si>
  <si>
    <t>7.8.7</t>
  </si>
  <si>
    <t>INSTALAÇÕES E APARELHOS</t>
  </si>
  <si>
    <t>Elétricas e telefônicas</t>
  </si>
  <si>
    <t>Água fria</t>
  </si>
  <si>
    <t>Entrada hidrômetro até a cisterna</t>
  </si>
  <si>
    <t>Água quente</t>
  </si>
  <si>
    <t>8.2.1</t>
  </si>
  <si>
    <t>8.2.2</t>
  </si>
  <si>
    <t>8.2.3</t>
  </si>
  <si>
    <t>8.2.4</t>
  </si>
  <si>
    <t>8.2.5</t>
  </si>
  <si>
    <t>8.2.6</t>
  </si>
  <si>
    <t>8.2.7</t>
  </si>
  <si>
    <t>8.5.1</t>
  </si>
  <si>
    <t>8.6.1</t>
  </si>
  <si>
    <t>8.4.5</t>
  </si>
  <si>
    <t>8.5.3</t>
  </si>
  <si>
    <t>8.5.4</t>
  </si>
  <si>
    <t>8.5.5</t>
  </si>
  <si>
    <t>8.5.6</t>
  </si>
  <si>
    <t>8.5.7</t>
  </si>
  <si>
    <t>Esgoto e águas pluviais</t>
  </si>
  <si>
    <t>8.6.2</t>
  </si>
  <si>
    <t>8.6.3</t>
  </si>
  <si>
    <t>8.6.4</t>
  </si>
  <si>
    <t>8.6.5</t>
  </si>
  <si>
    <t>8.6.6</t>
  </si>
  <si>
    <t>8.6.7</t>
  </si>
  <si>
    <t>8.6.8</t>
  </si>
  <si>
    <t>Instalações mecânicas</t>
  </si>
  <si>
    <t>8.7.1</t>
  </si>
  <si>
    <t>8.7.2</t>
  </si>
  <si>
    <t>8.7.3</t>
  </si>
  <si>
    <t>8.7.4</t>
  </si>
  <si>
    <t>8.7.5</t>
  </si>
  <si>
    <t>Bombas de água</t>
  </si>
  <si>
    <t>Aparelhos, metais e complementos</t>
  </si>
  <si>
    <t>8.8.1</t>
  </si>
  <si>
    <t>8.8.2</t>
  </si>
  <si>
    <t>8.8.3</t>
  </si>
  <si>
    <t>8.8.4</t>
  </si>
  <si>
    <t>8.8.5</t>
  </si>
  <si>
    <t>8.8.6</t>
  </si>
  <si>
    <t>8.8.7</t>
  </si>
  <si>
    <t>8.8.8</t>
  </si>
  <si>
    <t>8.8.9</t>
  </si>
  <si>
    <t>8.8.10</t>
  </si>
  <si>
    <t>8.8.11</t>
  </si>
  <si>
    <t>8.8.12</t>
  </si>
  <si>
    <t>8.8.13</t>
  </si>
  <si>
    <t>9.4</t>
  </si>
  <si>
    <t>CUSTO DIRETO DE CONSTRUÇÃO</t>
  </si>
  <si>
    <t>CUSTO TOTAL DE CONSTRUÇÃO</t>
  </si>
  <si>
    <t>Unidade</t>
  </si>
  <si>
    <t>Custo unitário</t>
  </si>
  <si>
    <t>% do item</t>
  </si>
  <si>
    <t>Orçamento Analítico Equipamentos Comunitários e de Uso Comum</t>
  </si>
  <si>
    <t>2.3</t>
  </si>
  <si>
    <t>2.4</t>
  </si>
  <si>
    <t>2.5</t>
  </si>
  <si>
    <t>2.6</t>
  </si>
  <si>
    <t>ÁGUA POTÁVEL</t>
  </si>
  <si>
    <t>RESERVAÇÃO</t>
  </si>
  <si>
    <t>Serviços técnicos (levantamento topográfico, projetos,especificações, orç., cronograma)</t>
  </si>
  <si>
    <t>ESGOTO SANITÁRIO</t>
  </si>
  <si>
    <t>DRENAGEM DAS ÁGUAS PLUVIAIS</t>
  </si>
  <si>
    <t>TERMINAL DE LANÇAMENTO</t>
  </si>
  <si>
    <t>m</t>
  </si>
  <si>
    <t>5.4</t>
  </si>
  <si>
    <t>5.5</t>
  </si>
  <si>
    <t>ENERGIA E ILUMINAÇÃO</t>
  </si>
  <si>
    <t>TELEFONE</t>
  </si>
  <si>
    <t>DUTOS</t>
  </si>
  <si>
    <t>CABEAMENTOS</t>
  </si>
  <si>
    <t>GÁS</t>
  </si>
  <si>
    <t>OBRAS ESPECIAIS</t>
  </si>
  <si>
    <t>Tipo do cronograma:</t>
  </si>
  <si>
    <t>Data da contratação:</t>
  </si>
  <si>
    <t>Data da retirada da suspensiva:</t>
  </si>
  <si>
    <t>Cronograma físico-financeiro global</t>
  </si>
  <si>
    <t>Etapa</t>
  </si>
  <si>
    <t>% da etapa</t>
  </si>
  <si>
    <t>% de liberação financeira</t>
  </si>
  <si>
    <t>Infra não incidente</t>
  </si>
  <si>
    <t>Infraestrutura não incidente</t>
  </si>
  <si>
    <t>Executado</t>
  </si>
  <si>
    <t>Evolução física da obra</t>
  </si>
  <si>
    <t>Custos</t>
  </si>
  <si>
    <t>cronograma inicial</t>
  </si>
  <si>
    <t>reprogramação</t>
  </si>
  <si>
    <t>SERVIÇOS PRELIMINARES GERAIS</t>
  </si>
  <si>
    <t>COBERTURA E PROTEÇÕES</t>
  </si>
  <si>
    <t>FUNDAÇÕES E CONTENÇÕES</t>
  </si>
  <si>
    <t>drenagem das águas pluviais</t>
  </si>
  <si>
    <t>pavimentação</t>
  </si>
  <si>
    <t>energia e iluminação</t>
  </si>
  <si>
    <t>PAISAGISMO, EQUIPAMENTOS E AMBIENTAÇÃO</t>
  </si>
  <si>
    <t>paisagismo, equipamentos e ambientação</t>
  </si>
  <si>
    <t>Legalização</t>
  </si>
  <si>
    <t>(aceitável de 4% a 8% do VGV)</t>
  </si>
  <si>
    <t>Tipologia</t>
  </si>
  <si>
    <t>Despesas financeiras</t>
  </si>
  <si>
    <t>TERRAPLENAGEM</t>
  </si>
  <si>
    <t>Responsabilidade pela execução e fonte de recursos</t>
  </si>
  <si>
    <t>Indique a etapa que terá habite-se e CND</t>
  </si>
  <si>
    <t>Indique</t>
  </si>
  <si>
    <t>Seguros (SRE e SGC/SGI)</t>
  </si>
  <si>
    <t>(aceitável até 2% do VGV)</t>
  </si>
  <si>
    <t>(juros e taxas: aceitável de 0,5% a 5% de edificações + infra + equipamentos)</t>
  </si>
  <si>
    <t>(aceitável até 0,5% de edificações + infra + equipamentos)</t>
  </si>
  <si>
    <t>ESTUDO DO SOLO (SONDAGEM, ENSAIOS, CONTROLE TECNOLÓGICO)</t>
  </si>
  <si>
    <t>TERRAPLENAGEM (CORTE E ATERRO)</t>
  </si>
  <si>
    <t>vb</t>
  </si>
  <si>
    <t>m3</t>
  </si>
  <si>
    <t>m2</t>
  </si>
  <si>
    <t>PROTEÇÃO DE TALUDES (GRAMA, HIDROSSEMEADURA, ETC)</t>
  </si>
  <si>
    <t>CAPTAÇÃO (EM REDE EXISTENTE, POÇO PROFUNDO, MANANCIAL, ETC)</t>
  </si>
  <si>
    <t>REDE DE DISTRIBUIÇÃO DE ÁGUA</t>
  </si>
  <si>
    <t>TRATAMENTO DA ÁGUA</t>
  </si>
  <si>
    <t>REDE DE ESGOTAMENTO SANITÁRIO</t>
  </si>
  <si>
    <t>TRATAMENTO DE EFLUENTES (FOSSA, SUMIDOURO, FILTRO, ETE)</t>
  </si>
  <si>
    <t>REDE DE DRENAGEM PLUVIAL</t>
  </si>
  <si>
    <t>4.7</t>
  </si>
  <si>
    <t>PASSEIOS/CALÇADAS</t>
  </si>
  <si>
    <t>PAISAGISMO</t>
  </si>
  <si>
    <t>m3/s</t>
  </si>
  <si>
    <t>ELEVATÓRIA</t>
  </si>
  <si>
    <t>und</t>
  </si>
  <si>
    <t>PAVIMENTAÇÃO EM</t>
  </si>
  <si>
    <t>GUIAS E SARJETAS</t>
  </si>
  <si>
    <t>REDE DE ENERGIA</t>
  </si>
  <si>
    <t>ILUMINAÇÃO PÚBLICA</t>
  </si>
  <si>
    <t>REDE DE DISTRIBUIÇÃO</t>
  </si>
  <si>
    <t>CENTRAL</t>
  </si>
  <si>
    <t>MURO DE ARRIMO EM</t>
  </si>
  <si>
    <t>Orçamento por Eventos da Infraestrutura</t>
  </si>
  <si>
    <t>Cronograma</t>
  </si>
  <si>
    <t>Na coluna "Indique a etapa que terá o habite-se e CND" deverá ser descrito o nome do documento que será obtido no mês.</t>
  </si>
  <si>
    <t>Por exemplo: se o habite-se tem previsão de ser obtido na etapa 24, então deverá ser escrito na linha 24 desta coluna "HABITE-SE". De forma análoga para a CND.</t>
  </si>
  <si>
    <t>A coluna "Evolução física da obra" indicará o percentual de evolução da obra do empreendimento.</t>
  </si>
  <si>
    <t>O percentual a ser inserido nas colunas "Edificações", "Infraestrutura e urbanização" e "Equipamentos comunitários" deverá ser o percentual total do mês. Não há mais a evolução de cada etapa do orçamento (paredes, estrutura, pavimentação, etc), mas sim o resultado mensal.</t>
  </si>
  <si>
    <t>A coluna "% de liberação financeira" irá indicar o % que a contrutora receberá mensalmente. Este percentual tem uma trava em 95%, caso não sejam previstos o habite-se e a CND.</t>
  </si>
  <si>
    <t>Por exemplo 2: se a evolução física da obra estiver com 97% e já houver previsão de habite-se e CND neste mês ou nos meses anteriores, o % de liberação financeira será de 97%.</t>
  </si>
  <si>
    <t>Por exemplo 1: se a evolução física da obra estiver com 97% e não tiver previsão de habite-se e/ou CND até este mês, o % de liberação financeira será de 95%.</t>
  </si>
  <si>
    <t>A coluna "Infra não incidente" é uma previsão da construtora para as infraestruturas necessárias para a entrega do empreendimento, mas que seus custos não são incidentes no contrato. É um cronograma informativo para registrar quando estas obras serão realizadas.</t>
  </si>
  <si>
    <r>
      <t>Área total equivalente do empreendimento (total da col. 38):</t>
    </r>
    <r>
      <rPr>
        <b/>
        <sz val="9"/>
        <color indexed="8"/>
        <rFont val="Calibri"/>
        <family val="2"/>
      </rPr>
      <t/>
    </r>
  </si>
  <si>
    <t xml:space="preserve"> ref. ao MÓDULO</t>
  </si>
  <si>
    <t>Sistema Construtivo:</t>
  </si>
  <si>
    <t>GPS:</t>
  </si>
  <si>
    <t>(preferencial: SAD-69)</t>
  </si>
  <si>
    <t>Valor de VENDA proposto</t>
  </si>
  <si>
    <t>PEC / MGE</t>
  </si>
  <si>
    <t>hidráulicas / gás / incêndio</t>
  </si>
  <si>
    <t>Contenções / arrimos especiais</t>
  </si>
  <si>
    <t>8.9</t>
  </si>
  <si>
    <t>8.9.1</t>
  </si>
  <si>
    <t>8.9.2</t>
  </si>
  <si>
    <t>8.9.3</t>
  </si>
  <si>
    <t>8.9.4</t>
  </si>
  <si>
    <t>8.9.5</t>
  </si>
  <si>
    <t>8.9.6</t>
  </si>
  <si>
    <t>8.9.7</t>
  </si>
  <si>
    <t>Climatização</t>
  </si>
  <si>
    <t>Lógica</t>
  </si>
  <si>
    <t>8.10</t>
  </si>
  <si>
    <t>8.10.1</t>
  </si>
  <si>
    <t>8.10.2</t>
  </si>
  <si>
    <t>8.10.3</t>
  </si>
  <si>
    <t>8.10.4</t>
  </si>
  <si>
    <t>8.10.5</t>
  </si>
  <si>
    <t>8.10.6</t>
  </si>
  <si>
    <t>8.10.7</t>
  </si>
  <si>
    <t>8.10.8</t>
  </si>
  <si>
    <t>8.11</t>
  </si>
  <si>
    <t>Especiais</t>
  </si>
  <si>
    <t>8.11.1</t>
  </si>
  <si>
    <t>8.11.2</t>
  </si>
  <si>
    <t>8.11.3</t>
  </si>
  <si>
    <t>8.11.4</t>
  </si>
  <si>
    <t>8.11.5</t>
  </si>
  <si>
    <t>8.11.6</t>
  </si>
  <si>
    <t>8.11.7</t>
  </si>
  <si>
    <t>8.11.8</t>
  </si>
  <si>
    <t>2.3.1</t>
  </si>
  <si>
    <t>2.3.2</t>
  </si>
  <si>
    <t>2.3.3</t>
  </si>
  <si>
    <t>2.3.4</t>
  </si>
  <si>
    <t>2.3.5</t>
  </si>
  <si>
    <t>2.3.6</t>
  </si>
  <si>
    <t>2.3.7</t>
  </si>
  <si>
    <t>Dutos de Passagem</t>
  </si>
  <si>
    <t>Prumadas - Drenos</t>
  </si>
  <si>
    <t>Instalações frigorígenas</t>
  </si>
  <si>
    <t>Pontos Lógicos</t>
  </si>
  <si>
    <t>2.2.8</t>
  </si>
  <si>
    <t>6.5.16</t>
  </si>
  <si>
    <t>incidencia calculada</t>
  </si>
  <si>
    <t>erro acumulado</t>
  </si>
  <si>
    <t>INFRAESTRUTURA E URBANIZAÇÃO</t>
  </si>
  <si>
    <t>2.1.10</t>
  </si>
  <si>
    <t>4.1.8</t>
  </si>
  <si>
    <t>4.2.7</t>
  </si>
  <si>
    <t>4.3.10</t>
  </si>
  <si>
    <t>4.4.9</t>
  </si>
  <si>
    <t>4.5.8</t>
  </si>
  <si>
    <t>4.6.7</t>
  </si>
  <si>
    <t>5.1.5</t>
  </si>
  <si>
    <t>5.2.10</t>
  </si>
  <si>
    <t>6.1.8</t>
  </si>
  <si>
    <t>6.2.9</t>
  </si>
  <si>
    <t>6.3.7</t>
  </si>
  <si>
    <t>6.4.6</t>
  </si>
  <si>
    <t>6.6.8</t>
  </si>
  <si>
    <t>7.1.7</t>
  </si>
  <si>
    <t>7.2.6</t>
  </si>
  <si>
    <t>7.3.5</t>
  </si>
  <si>
    <t>7.4.5</t>
  </si>
  <si>
    <t>8.4.6</t>
  </si>
  <si>
    <t>8.5.8</t>
  </si>
  <si>
    <t>9.5</t>
  </si>
  <si>
    <t>Calculo Arredondamento Monetário</t>
  </si>
  <si>
    <t>Trabalho técnico social / Gestão Condominial</t>
  </si>
  <si>
    <t>Orçamento Sintético - Habitação</t>
  </si>
  <si>
    <t>FRE</t>
  </si>
  <si>
    <t>O formulário é auto-explicativo com comentários em algumas células, que detalham sua forma de preenchimento.</t>
  </si>
  <si>
    <t>O Programa deverá ser o primeiro item do formulário a ser preenchido, haja vista que a estrutura do formulário pode ser alterada de acordo com o programa.</t>
  </si>
  <si>
    <t>Caso necessário podem ser inseridas linhas nas tabelas de tipologias, com o cuidado de manter a formatação e as formulas.</t>
  </si>
  <si>
    <t>No Caso do financiamento à produção de lotes urbanizados - PRODULOTE - deve ser preenchido apenas o Orç_eventos_Infra.</t>
  </si>
  <si>
    <t>O preenchimento da planilha Orç_analítico_Equipamento_Faixa_I é necessário apenas no produtos MCMV (FAR ou FDS).</t>
  </si>
  <si>
    <t>Para apresentação dos custos de habitação devem ser preenchidas as planilhas Orç_analítio_Hab, sendo permitido em alguns programas inserção da infra-estrutura juntamente com a habitação.</t>
  </si>
  <si>
    <t>Caso a infra seja orçada em separado deve ser preenchido o Orç_eventos_Infra, onde é permitida a inserção de linhas desde que mantida a estrutura analítica do orçamento, com o cuidado de manter a formatação e formulas de soma.</t>
  </si>
  <si>
    <t>Para os demais programas caso haja equipamentos condominiais estes deve ser incluídos no orçamento da habitação ou infra.</t>
  </si>
  <si>
    <t>Planilhas Orçamentárias</t>
  </si>
  <si>
    <t>O preenchimento da planilha Orç_sintético_Hab será automático e representa o orçamento sintético da habitação (com ou sem infra inclusa).</t>
  </si>
  <si>
    <t>O Orç_sintético_Hab poderá ser preenchido diretamente (sem necessidade de preencher a planilha Orç_analítico_Hab), sendo obrigatório nesses casos o preenchimento manual dos itens referentes ao "Custo direto", "BDI" e "Custo global" na linha 99 da aba "FRE".</t>
  </si>
  <si>
    <t>(se adquirido recentemente ou a adquirir, informar o valor da aquisição/opção)</t>
  </si>
  <si>
    <t>Data de aquisição:</t>
  </si>
  <si>
    <r>
      <t xml:space="preserve">Endereço do Empreendimento </t>
    </r>
    <r>
      <rPr>
        <i/>
        <sz val="9"/>
        <rFont val="Calibri"/>
        <family val="2"/>
      </rPr>
      <t>(conforme Matrícula)</t>
    </r>
  </si>
  <si>
    <t xml:space="preserve">Proponente </t>
  </si>
  <si>
    <t>CAU/CREA</t>
  </si>
  <si>
    <r>
      <t xml:space="preserve">Incorporador </t>
    </r>
    <r>
      <rPr>
        <i/>
        <sz val="9"/>
        <rFont val="Calibri"/>
        <family val="2"/>
      </rPr>
      <t>(conforme Memorial de Incorporação ou RI)</t>
    </r>
  </si>
  <si>
    <t>E-mail</t>
  </si>
  <si>
    <t>Este laudo refere-se a um módulo?</t>
  </si>
  <si>
    <t>Número do módulo:</t>
  </si>
  <si>
    <t>UHs não financiáveis</t>
  </si>
  <si>
    <t>Tipos de UH diferentes</t>
  </si>
  <si>
    <t>Nº de blocos de apartamentos</t>
  </si>
  <si>
    <t>CHECAGEM VALOR OUTRAS DESPESAS</t>
  </si>
  <si>
    <t>Área Priv. ou Construída Coberta Padrão</t>
  </si>
  <si>
    <t>col. 20</t>
  </si>
  <si>
    <t>Produção de Lotes Urbanizados - PRODULOTE - PJ</t>
  </si>
  <si>
    <t>Outro</t>
  </si>
  <si>
    <t>PCVA Entidades - Recursos FDS</t>
  </si>
  <si>
    <t>PCVA - Recursos FAR</t>
  </si>
  <si>
    <t>Áreas</t>
  </si>
  <si>
    <r>
      <rPr>
        <sz val="9"/>
        <rFont val="Calibri"/>
        <family val="2"/>
      </rPr>
      <t xml:space="preserve">Unidades </t>
    </r>
    <r>
      <rPr>
        <sz val="9"/>
        <color indexed="8"/>
        <rFont val="Calibri"/>
        <family val="2"/>
      </rPr>
      <t>comerciais</t>
    </r>
  </si>
  <si>
    <t>% Área habitacional / Área construída total:</t>
  </si>
  <si>
    <t>% Área comercial / Área construída total:</t>
  </si>
  <si>
    <t>Unid. Comercial</t>
  </si>
  <si>
    <t>Grau de sigilo</t>
  </si>
  <si>
    <t>#EXTERNO.CONFIDENCIAL</t>
  </si>
  <si>
    <t>GO</t>
  </si>
  <si>
    <t>não</t>
  </si>
  <si>
    <t>condomínio</t>
  </si>
  <si>
    <t>normal</t>
  </si>
  <si>
    <t>convencional</t>
  </si>
  <si>
    <t>Estrutura + vedação</t>
  </si>
  <si>
    <t>sul</t>
  </si>
  <si>
    <t>CASA TÉRREA COMPOSTA POR 3 QUARTOS, SENDO UM SUITE, 1 BANHEIRO SOCIAL, 1 SALA DE ESTAR/JANTAR, 1 COZINHA, 1 ÁREA DE SERVIÇO E 1 GARAGEM DESCOBERTA</t>
  </si>
  <si>
    <t>NENHUMA OBRA EXTERNA FOI INICIALIZADA.</t>
  </si>
  <si>
    <t>CUB</t>
  </si>
  <si>
    <t>Aquisição</t>
  </si>
  <si>
    <t>49°08'4.0"</t>
  </si>
  <si>
    <t>16°40'29.2"</t>
  </si>
  <si>
    <t>SAD-69</t>
  </si>
  <si>
    <t>GOIÂNIA</t>
  </si>
  <si>
    <t>HABITE-SE E CND</t>
  </si>
  <si>
    <t>Janeiro 2025</t>
  </si>
  <si>
    <t>{NOME DO EMPRRENDIMENTO}</t>
  </si>
  <si>
    <t>{RUA}</t>
  </si>
  <si>
    <t>{COMPLEMENTO}</t>
  </si>
  <si>
    <t>{SETOR}</t>
  </si>
  <si>
    <t>{CIDADE}</t>
  </si>
  <si>
    <t>{CEP}</t>
  </si>
  <si>
    <t>{PROPONENTE}</t>
  </si>
  <si>
    <t>{CONSTRUTORA}</t>
  </si>
  <si>
    <t>{DOC. CONSTRUTORA}</t>
  </si>
  <si>
    <t>{RESPONSÁVEL TÉCNICO}</t>
  </si>
  <si>
    <t>{DOC. RESPONSÁVEL}</t>
  </si>
  <si>
    <t>{CREA}</t>
  </si>
  <si>
    <t>{INCORPORADOR}</t>
  </si>
  <si>
    <t>{DOC. INCORPORADOR}</t>
  </si>
  <si>
    <t>{TEL. CONTATO}</t>
  </si>
  <si>
    <t>{EMAIL}</t>
  </si>
  <si>
    <t>EX</t>
  </si>
  <si>
    <t>{ÁREA DO LOTE}</t>
  </si>
  <si>
    <t>{ÁREA EQUIVALENTE}</t>
  </si>
  <si>
    <t>{DATA HOJE}</t>
  </si>
  <si>
    <t>O Condomínio Residencial será enquadrado no programa minha casa minha vida, exceto faixa 1. Sistema de construção convencional, condomínio de casas seriadas, não geminadas, localizadas no município de Senador Canedo - GO.</t>
  </si>
  <si>
    <t>{Nº DE UNIDADES}</t>
  </si>
  <si>
    <r>
      <t>CONDOMÍNIO HORIZONTAL COMPOSTO POR {Nº UNIDADES} UNIDADES TÉRREAS COM MESMA TIPOLOGIA, CONTENDO CADA UMA, 3 QUARTOS SENDO UM SUITE, BANHEIRO SOCIAL, BANHEIRO PRIVATIVO, SALA DE ESTAR, COZINHA, ÁREA DE SERVIÇO E GARAGEM DESCOBERTA, CONTARÁ COM PORTARIA (GUARITA/ADIMINISTRAÇÃO)</t>
    </r>
    <r>
      <rPr>
        <sz val="9"/>
        <color indexed="10"/>
        <rFont val="Calibri"/>
        <family val="2"/>
      </rPr>
      <t>(PREENCHER COM INFORMAÇÕES DO CONDOMÍNIO)</t>
    </r>
    <r>
      <rPr>
        <sz val="9"/>
        <color indexed="8"/>
        <rFont val="Calibri"/>
        <family val="2"/>
      </rPr>
      <t>. UTILIZAÇÃO DE SISTEMA DE FOSSA SÉPTICA E SUMIDOURO PARA TRATAMENTO DE ESGOTO.</t>
    </r>
  </si>
  <si>
    <t>{PRAZO PREVISTO}</t>
  </si>
  <si>
    <t>{DOC. PROPONENTE}</t>
  </si>
  <si>
    <t>{VALOR DO TERRENO}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</si>
</sst>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_ ;[Red]\-#,##0.00\ "/>
    <numFmt numFmtId="165" formatCode="dd/mm/yy;@"/>
    <numFmt numFmtId="166" formatCode="&quot;m²&quot;\ \(0%\)"/>
    <numFmt numFmtId="167" formatCode="[&gt;99999999999]00\.000\.000\/0000\-00;[&gt;999999]000\.000\.000\-00;@"/>
    <numFmt numFmtId="168" formatCode="#,##0_ ;[Red]\-#,##0\ "/>
    <numFmt numFmtId="169" formatCode="0.00000%"/>
    <numFmt numFmtId="170" formatCode="&quot;R$&quot;\ #,##0.0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9"/>
      <name val="Calibri"/>
      <family val="2"/>
    </font>
    <font>
      <sz val="9"/>
      <color indexed="8"/>
      <name val="Calibri"/>
      <family val="2"/>
    </font>
    <font>
      <sz val="8"/>
      <color indexed="8"/>
      <name val="Calibri"/>
      <family val="2"/>
    </font>
    <font>
      <sz val="9"/>
      <color indexed="9"/>
      <name val="Calibri"/>
      <family val="2"/>
    </font>
    <font>
      <sz val="10"/>
      <name val="Arial"/>
      <family val="2"/>
    </font>
    <font>
      <b/>
      <sz val="9"/>
      <color indexed="8"/>
      <name val="Calibri"/>
      <family val="2"/>
    </font>
    <font>
      <b/>
      <u/>
      <sz val="9"/>
      <color indexed="8"/>
      <name val="Calibri"/>
      <family val="2"/>
    </font>
    <font>
      <b/>
      <sz val="8"/>
      <color indexed="8"/>
      <name val="Calibri"/>
      <family val="2"/>
    </font>
    <font>
      <sz val="8"/>
      <color indexed="9"/>
      <name val="Calibri"/>
      <family val="2"/>
    </font>
    <font>
      <sz val="11"/>
      <color indexed="9"/>
      <name val="Calibri"/>
      <family val="2"/>
    </font>
    <font>
      <sz val="7"/>
      <color indexed="8"/>
      <name val="Calibri"/>
      <family val="2"/>
    </font>
    <font>
      <sz val="9"/>
      <name val="Arial"/>
      <family val="2"/>
    </font>
    <font>
      <sz val="10"/>
      <name val="MS Sans Serif"/>
    </font>
    <font>
      <u/>
      <sz val="9"/>
      <name val="Calibri"/>
      <family val="2"/>
    </font>
    <font>
      <sz val="9"/>
      <color indexed="22"/>
      <name val="Calibri"/>
      <family val="2"/>
    </font>
    <font>
      <b/>
      <sz val="9"/>
      <name val="Calibri"/>
      <family val="2"/>
    </font>
    <font>
      <sz val="9"/>
      <color indexed="10"/>
      <name val="Calibri"/>
      <family val="2"/>
    </font>
    <font>
      <b/>
      <sz val="7"/>
      <color indexed="8"/>
      <name val="Calibri"/>
      <family val="2"/>
    </font>
    <font>
      <u/>
      <sz val="9"/>
      <color indexed="8"/>
      <name val="Calibri"/>
      <family val="2"/>
    </font>
    <font>
      <sz val="12"/>
      <color indexed="8"/>
      <name val="Calibri"/>
      <family val="2"/>
    </font>
    <font>
      <b/>
      <sz val="12"/>
      <name val="Calibri"/>
      <family val="2"/>
    </font>
    <font>
      <sz val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</font>
    <font>
      <b/>
      <sz val="12"/>
      <color indexed="8"/>
      <name val="Calibri"/>
      <family val="2"/>
    </font>
    <font>
      <i/>
      <sz val="9"/>
      <color indexed="8"/>
      <name val="Calibri"/>
      <family val="2"/>
    </font>
    <font>
      <i/>
      <sz val="9"/>
      <name val="Calibri"/>
      <family val="2"/>
    </font>
    <font>
      <b/>
      <sz val="9"/>
      <color indexed="81"/>
      <name val="Calibri"/>
      <family val="2"/>
    </font>
    <font>
      <b/>
      <sz val="8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7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sz val="9"/>
      <color theme="0"/>
      <name val="Calibri"/>
      <family val="2"/>
    </font>
    <font>
      <sz val="9"/>
      <color theme="1"/>
      <name val="Calibri"/>
      <family val="2"/>
    </font>
    <font>
      <u/>
      <sz val="9"/>
      <color theme="10"/>
      <name val="Calibri"/>
      <family val="2"/>
      <scheme val="minor"/>
    </font>
    <font>
      <sz val="8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lightUp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theme="2"/>
      </bottom>
      <diagonal/>
    </border>
    <border>
      <left style="hair">
        <color indexed="64"/>
      </left>
      <right/>
      <top style="hair">
        <color indexed="64"/>
      </top>
      <bottom style="hair">
        <color theme="2"/>
      </bottom>
      <diagonal/>
    </border>
    <border>
      <left style="hair">
        <color indexed="64"/>
      </left>
      <right style="hair">
        <color indexed="64"/>
      </right>
      <top style="hair">
        <color theme="2"/>
      </top>
      <bottom style="hair">
        <color theme="2"/>
      </bottom>
      <diagonal/>
    </border>
    <border>
      <left style="hair">
        <color indexed="64"/>
      </left>
      <right/>
      <top style="hair">
        <color theme="2"/>
      </top>
      <bottom style="hair">
        <color theme="2"/>
      </bottom>
      <diagonal/>
    </border>
    <border>
      <left/>
      <right style="hair">
        <color indexed="64"/>
      </right>
      <top style="hair">
        <color theme="2"/>
      </top>
      <bottom style="hair">
        <color theme="2"/>
      </bottom>
      <diagonal/>
    </border>
    <border>
      <left/>
      <right style="hair">
        <color indexed="64"/>
      </right>
      <top style="hair">
        <color indexed="64"/>
      </top>
      <bottom style="hair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11">
    <xf numFmtId="0" fontId="0" fillId="0" borderId="0"/>
    <xf numFmtId="0" fontId="37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8" fillId="0" borderId="0"/>
    <xf numFmtId="0" fontId="8" fillId="0" borderId="0"/>
    <xf numFmtId="0" fontId="15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0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2">
    <xf numFmtId="0" fontId="0" fillId="0" borderId="0" xfId="0"/>
    <xf numFmtId="0" fontId="5" fillId="0" borderId="0" xfId="0" applyFont="1"/>
    <xf numFmtId="0" fontId="7" fillId="0" borderId="0" xfId="0" applyFont="1"/>
    <xf numFmtId="0" fontId="3" fillId="0" borderId="0" xfId="0" applyFont="1"/>
    <xf numFmtId="0" fontId="5" fillId="0" borderId="0" xfId="0" applyFont="1" applyAlignment="1">
      <alignment horizontal="right"/>
    </xf>
    <xf numFmtId="0" fontId="5" fillId="0" borderId="1" xfId="0" applyFont="1" applyBorder="1"/>
    <xf numFmtId="0" fontId="5" fillId="0" borderId="0" xfId="0" applyFont="1" applyAlignment="1">
      <alignment horizontal="left"/>
    </xf>
    <xf numFmtId="166" fontId="5" fillId="0" borderId="0" xfId="6" applyNumberFormat="1" applyFont="1" applyAlignment="1" applyProtection="1">
      <alignment horizontal="left"/>
    </xf>
    <xf numFmtId="0" fontId="10" fillId="0" borderId="0" xfId="0" applyFont="1" applyAlignment="1">
      <alignment horizontal="left"/>
    </xf>
    <xf numFmtId="0" fontId="9" fillId="0" borderId="2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5" fillId="0" borderId="3" xfId="0" applyFont="1" applyBorder="1" applyAlignment="1">
      <alignment horizontal="left"/>
    </xf>
    <xf numFmtId="0" fontId="0" fillId="0" borderId="3" xfId="0" applyBorder="1"/>
    <xf numFmtId="0" fontId="9" fillId="0" borderId="3" xfId="0" applyFont="1" applyBorder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0" fontId="13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5" fillId="0" borderId="0" xfId="3" applyFont="1"/>
    <xf numFmtId="10" fontId="17" fillId="0" borderId="0" xfId="5" applyNumberFormat="1" applyFont="1" applyAlignment="1">
      <alignment horizontal="centerContinuous" vertical="top"/>
    </xf>
    <xf numFmtId="0" fontId="17" fillId="0" borderId="0" xfId="3" applyFont="1"/>
    <xf numFmtId="10" fontId="17" fillId="0" borderId="4" xfId="5" applyNumberFormat="1" applyFont="1" applyBorder="1" applyAlignment="1">
      <alignment horizontal="centerContinuous" vertical="top"/>
    </xf>
    <xf numFmtId="0" fontId="4" fillId="0" borderId="0" xfId="0" applyFont="1"/>
    <xf numFmtId="0" fontId="18" fillId="0" borderId="0" xfId="3" applyFont="1"/>
    <xf numFmtId="0" fontId="4" fillId="0" borderId="0" xfId="3" applyFont="1"/>
    <xf numFmtId="10" fontId="4" fillId="2" borderId="0" xfId="8" applyNumberFormat="1" applyFont="1" applyFill="1" applyBorder="1" applyAlignment="1" applyProtection="1">
      <alignment horizontal="center" vertical="center"/>
    </xf>
    <xf numFmtId="0" fontId="4" fillId="0" borderId="0" xfId="3" applyFont="1" applyAlignment="1">
      <alignment vertical="center"/>
    </xf>
    <xf numFmtId="10" fontId="4" fillId="0" borderId="0" xfId="6" applyNumberFormat="1" applyFont="1" applyBorder="1" applyAlignment="1" applyProtection="1">
      <alignment horizontal="center" vertical="center"/>
    </xf>
    <xf numFmtId="0" fontId="19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9" fillId="0" borderId="0" xfId="3" applyFont="1"/>
    <xf numFmtId="0" fontId="4" fillId="0" borderId="0" xfId="3" applyFont="1" applyAlignment="1">
      <alignment horizontal="right"/>
    </xf>
    <xf numFmtId="10" fontId="4" fillId="2" borderId="0" xfId="6" applyNumberFormat="1" applyFont="1" applyFill="1" applyBorder="1" applyAlignment="1" applyProtection="1">
      <alignment horizontal="right" vertical="center"/>
    </xf>
    <xf numFmtId="40" fontId="4" fillId="2" borderId="0" xfId="6" applyNumberFormat="1" applyFont="1" applyFill="1" applyBorder="1" applyAlignment="1" applyProtection="1">
      <alignment horizontal="center" vertical="center"/>
    </xf>
    <xf numFmtId="10" fontId="4" fillId="2" borderId="0" xfId="6" applyNumberFormat="1" applyFont="1" applyFill="1" applyBorder="1" applyAlignment="1" applyProtection="1">
      <alignment horizontal="center" vertical="center"/>
    </xf>
    <xf numFmtId="0" fontId="4" fillId="2" borderId="0" xfId="3" applyFont="1" applyFill="1" applyAlignment="1">
      <alignment vertical="center" shrinkToFit="1"/>
    </xf>
    <xf numFmtId="10" fontId="4" fillId="0" borderId="0" xfId="6" applyNumberFormat="1" applyFont="1" applyFill="1" applyBorder="1" applyAlignment="1" applyProtection="1">
      <alignment horizontal="right" vertical="center"/>
    </xf>
    <xf numFmtId="40" fontId="4" fillId="0" borderId="0" xfId="6" applyNumberFormat="1" applyFont="1" applyFill="1" applyBorder="1" applyAlignment="1" applyProtection="1">
      <alignment horizontal="center" vertical="center"/>
    </xf>
    <xf numFmtId="10" fontId="4" fillId="0" borderId="0" xfId="6" applyNumberFormat="1" applyFont="1" applyFill="1" applyBorder="1" applyAlignment="1" applyProtection="1">
      <alignment horizontal="left" vertical="center"/>
    </xf>
    <xf numFmtId="0" fontId="4" fillId="0" borderId="0" xfId="3" applyFont="1" applyAlignment="1">
      <alignment horizontal="center" vertical="center" shrinkToFit="1"/>
    </xf>
    <xf numFmtId="10" fontId="4" fillId="2" borderId="0" xfId="6" applyNumberFormat="1" applyFont="1" applyFill="1" applyBorder="1" applyAlignment="1" applyProtection="1">
      <alignment horizontal="left" vertical="center"/>
    </xf>
    <xf numFmtId="0" fontId="19" fillId="0" borderId="0" xfId="3" applyFont="1" applyAlignment="1">
      <alignment vertical="center"/>
    </xf>
    <xf numFmtId="0" fontId="20" fillId="0" borderId="0" xfId="3" applyFont="1" applyAlignment="1">
      <alignment horizontal="left" vertical="center"/>
    </xf>
    <xf numFmtId="10" fontId="19" fillId="0" borderId="0" xfId="6" applyNumberFormat="1" applyFont="1" applyFill="1" applyBorder="1" applyAlignment="1" applyProtection="1">
      <alignment horizontal="center" vertical="center"/>
    </xf>
    <xf numFmtId="164" fontId="9" fillId="0" borderId="5" xfId="0" applyNumberFormat="1" applyFont="1" applyBorder="1" applyAlignment="1">
      <alignment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9" fontId="6" fillId="0" borderId="0" xfId="6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6" fillId="0" borderId="3" xfId="0" applyFont="1" applyBorder="1" applyAlignment="1">
      <alignment horizontal="left"/>
    </xf>
    <xf numFmtId="0" fontId="6" fillId="0" borderId="3" xfId="0" applyFont="1" applyBorder="1"/>
    <xf numFmtId="0" fontId="6" fillId="0" borderId="0" xfId="0" applyFont="1" applyAlignment="1">
      <alignment horizontal="right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164" fontId="6" fillId="0" borderId="3" xfId="9" applyNumberFormat="1" applyFont="1" applyBorder="1" applyAlignment="1" applyProtection="1">
      <alignment horizontal="right" vertical="center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0" xfId="9" applyNumberFormat="1" applyFont="1" applyBorder="1" applyAlignment="1" applyProtection="1">
      <alignment horizontal="right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164" fontId="11" fillId="0" borderId="5" xfId="9" applyNumberFormat="1" applyFont="1" applyBorder="1" applyAlignment="1" applyProtection="1">
      <alignment horizontal="right" vertical="center"/>
    </xf>
    <xf numFmtId="0" fontId="6" fillId="3" borderId="0" xfId="0" applyFont="1" applyFill="1" applyAlignment="1" applyProtection="1">
      <alignment horizontal="center" vertical="center"/>
      <protection locked="0"/>
    </xf>
    <xf numFmtId="164" fontId="6" fillId="3" borderId="0" xfId="9" applyNumberFormat="1" applyFont="1" applyFill="1" applyBorder="1" applyAlignment="1" applyProtection="1">
      <alignment horizontal="right" vertical="center"/>
      <protection locked="0"/>
    </xf>
    <xf numFmtId="0" fontId="11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right" vertical="center"/>
    </xf>
    <xf numFmtId="10" fontId="6" fillId="3" borderId="0" xfId="6" applyNumberFormat="1" applyFont="1" applyFill="1" applyBorder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164" fontId="11" fillId="0" borderId="0" xfId="9" applyNumberFormat="1" applyFont="1" applyBorder="1" applyAlignment="1" applyProtection="1">
      <alignment horizontal="right" vertical="center"/>
    </xf>
    <xf numFmtId="9" fontId="14" fillId="0" borderId="0" xfId="6" applyFont="1" applyBorder="1" applyAlignment="1" applyProtection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10" fontId="6" fillId="3" borderId="1" xfId="6" applyNumberFormat="1" applyFont="1" applyFill="1" applyBorder="1" applyAlignment="1" applyProtection="1">
      <alignment vertical="center"/>
      <protection locked="0"/>
    </xf>
    <xf numFmtId="10" fontId="6" fillId="0" borderId="9" xfId="6" applyNumberFormat="1" applyFont="1" applyBorder="1" applyAlignment="1" applyProtection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0" fontId="6" fillId="3" borderId="10" xfId="6" applyNumberFormat="1" applyFont="1" applyFill="1" applyBorder="1" applyAlignment="1" applyProtection="1">
      <alignment vertical="center"/>
      <protection locked="0"/>
    </xf>
    <xf numFmtId="10" fontId="6" fillId="0" borderId="11" xfId="6" applyNumberFormat="1" applyFont="1" applyBorder="1" applyAlignment="1" applyProtection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9" fontId="5" fillId="0" borderId="0" xfId="6" applyFont="1" applyBorder="1" applyAlignment="1" applyProtection="1">
      <alignment vertical="center"/>
    </xf>
    <xf numFmtId="0" fontId="5" fillId="0" borderId="9" xfId="0" applyFont="1" applyBorder="1" applyAlignment="1">
      <alignment vertical="center"/>
    </xf>
    <xf numFmtId="164" fontId="5" fillId="0" borderId="0" xfId="0" applyNumberFormat="1" applyFont="1" applyAlignment="1">
      <alignment horizontal="right" vertical="center"/>
    </xf>
    <xf numFmtId="0" fontId="5" fillId="0" borderId="5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10" fontId="6" fillId="0" borderId="1" xfId="6" applyNumberFormat="1" applyFont="1" applyFill="1" applyBorder="1" applyAlignment="1" applyProtection="1">
      <alignment vertical="center"/>
    </xf>
    <xf numFmtId="10" fontId="6" fillId="0" borderId="10" xfId="6" applyNumberFormat="1" applyFont="1" applyFill="1" applyBorder="1" applyAlignment="1" applyProtection="1">
      <alignment vertical="center"/>
    </xf>
    <xf numFmtId="0" fontId="5" fillId="0" borderId="16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165" fontId="19" fillId="3" borderId="2" xfId="0" applyNumberFormat="1" applyFont="1" applyFill="1" applyBorder="1" applyAlignment="1" applyProtection="1">
      <alignment horizontal="left" vertical="center"/>
      <protection locked="0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horizontal="left" vertical="center" indent="2"/>
    </xf>
    <xf numFmtId="0" fontId="5" fillId="0" borderId="1" xfId="0" applyFont="1" applyBorder="1" applyAlignment="1">
      <alignment horizontal="left" vertical="center" indent="2"/>
    </xf>
    <xf numFmtId="0" fontId="5" fillId="0" borderId="1" xfId="0" applyFont="1" applyBorder="1" applyAlignment="1">
      <alignment vertical="center"/>
    </xf>
    <xf numFmtId="0" fontId="22" fillId="0" borderId="1" xfId="0" applyFont="1" applyBorder="1" applyAlignment="1">
      <alignment horizontal="left" vertical="center" indent="2"/>
    </xf>
    <xf numFmtId="0" fontId="5" fillId="0" borderId="10" xfId="0" applyFont="1" applyBorder="1" applyAlignment="1">
      <alignment horizontal="left" vertical="center" indent="2"/>
    </xf>
    <xf numFmtId="0" fontId="0" fillId="0" borderId="0" xfId="0" applyAlignment="1">
      <alignment vertical="center"/>
    </xf>
    <xf numFmtId="168" fontId="6" fillId="0" borderId="14" xfId="0" applyNumberFormat="1" applyFont="1" applyBorder="1" applyAlignment="1">
      <alignment horizontal="center" vertical="center"/>
    </xf>
    <xf numFmtId="168" fontId="11" fillId="0" borderId="14" xfId="0" applyNumberFormat="1" applyFont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 vertical="center"/>
    </xf>
    <xf numFmtId="164" fontId="11" fillId="0" borderId="14" xfId="0" applyNumberFormat="1" applyFont="1" applyBorder="1" applyAlignment="1">
      <alignment horizontal="right" vertical="center"/>
    </xf>
    <xf numFmtId="0" fontId="5" fillId="0" borderId="3" xfId="0" applyFont="1" applyBorder="1"/>
    <xf numFmtId="10" fontId="6" fillId="3" borderId="1" xfId="6" applyNumberFormat="1" applyFont="1" applyFill="1" applyBorder="1" applyAlignment="1" applyProtection="1">
      <alignment horizontal="center" vertical="center"/>
      <protection locked="0"/>
    </xf>
    <xf numFmtId="10" fontId="6" fillId="3" borderId="10" xfId="6" applyNumberFormat="1" applyFont="1" applyFill="1" applyBorder="1" applyAlignment="1" applyProtection="1">
      <alignment horizontal="center" vertical="center"/>
      <protection locked="0"/>
    </xf>
    <xf numFmtId="0" fontId="23" fillId="0" borderId="16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7" fillId="0" borderId="0" xfId="1"/>
    <xf numFmtId="10" fontId="4" fillId="0" borderId="0" xfId="3" applyNumberFormat="1" applyFont="1"/>
    <xf numFmtId="10" fontId="6" fillId="0" borderId="9" xfId="6" applyNumberFormat="1" applyFont="1" applyBorder="1" applyAlignment="1">
      <alignment horizontal="center" vertical="center"/>
    </xf>
    <xf numFmtId="10" fontId="5" fillId="0" borderId="9" xfId="0" applyNumberFormat="1" applyFont="1" applyBorder="1" applyAlignment="1">
      <alignment horizontal="center" vertical="center"/>
    </xf>
    <xf numFmtId="10" fontId="5" fillId="0" borderId="9" xfId="0" applyNumberFormat="1" applyFon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14" fillId="0" borderId="11" xfId="6" applyNumberFormat="1" applyFont="1" applyBorder="1" applyAlignment="1" applyProtection="1">
      <alignment horizontal="center" vertical="center"/>
    </xf>
    <xf numFmtId="10" fontId="4" fillId="0" borderId="0" xfId="6" applyNumberFormat="1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left" vertical="center"/>
      <protection locked="0"/>
    </xf>
    <xf numFmtId="10" fontId="14" fillId="0" borderId="9" xfId="6" applyNumberFormat="1" applyFont="1" applyBorder="1" applyAlignment="1" applyProtection="1">
      <alignment horizontal="center" vertical="center"/>
    </xf>
    <xf numFmtId="169" fontId="5" fillId="0" borderId="0" xfId="6" applyNumberFormat="1" applyFont="1" applyAlignment="1">
      <alignment vertical="center"/>
    </xf>
    <xf numFmtId="169" fontId="5" fillId="0" borderId="0" xfId="0" applyNumberFormat="1" applyFont="1" applyAlignment="1">
      <alignment vertical="center"/>
    </xf>
    <xf numFmtId="8" fontId="5" fillId="0" borderId="0" xfId="0" applyNumberFormat="1" applyFont="1" applyAlignment="1">
      <alignment vertical="center"/>
    </xf>
    <xf numFmtId="8" fontId="9" fillId="0" borderId="0" xfId="0" applyNumberFormat="1" applyFont="1" applyAlignment="1">
      <alignment vertical="center"/>
    </xf>
    <xf numFmtId="8" fontId="0" fillId="0" borderId="0" xfId="0" applyNumberFormat="1"/>
    <xf numFmtId="169" fontId="5" fillId="0" borderId="0" xfId="6" applyNumberFormat="1" applyFont="1" applyFill="1" applyAlignment="1">
      <alignment vertical="center"/>
    </xf>
    <xf numFmtId="0" fontId="28" fillId="0" borderId="0" xfId="0" applyFont="1"/>
    <xf numFmtId="0" fontId="29" fillId="0" borderId="0" xfId="0" applyFont="1"/>
    <xf numFmtId="0" fontId="38" fillId="0" borderId="0" xfId="0" applyFont="1"/>
    <xf numFmtId="0" fontId="9" fillId="0" borderId="0" xfId="0" applyFont="1" applyProtection="1">
      <protection locked="0"/>
    </xf>
    <xf numFmtId="0" fontId="38" fillId="0" borderId="0" xfId="0" applyFont="1" applyAlignment="1">
      <alignment horizontal="right"/>
    </xf>
    <xf numFmtId="0" fontId="9" fillId="3" borderId="0" xfId="0" applyFont="1" applyFill="1" applyAlignment="1" applyProtection="1">
      <alignment horizontal="center"/>
      <protection locked="0"/>
    </xf>
    <xf numFmtId="0" fontId="9" fillId="0" borderId="0" xfId="0" applyFont="1" applyAlignment="1">
      <alignment horizontal="center"/>
    </xf>
    <xf numFmtId="8" fontId="5" fillId="0" borderId="0" xfId="0" applyNumberFormat="1" applyFont="1" applyAlignment="1">
      <alignment horizontal="right"/>
    </xf>
    <xf numFmtId="10" fontId="9" fillId="0" borderId="0" xfId="6" applyNumberFormat="1" applyFont="1" applyFill="1" applyBorder="1" applyAlignment="1" applyProtection="1">
      <alignment horizontal="left"/>
      <protection locked="0"/>
    </xf>
    <xf numFmtId="8" fontId="5" fillId="0" borderId="0" xfId="0" applyNumberFormat="1" applyFont="1" applyAlignment="1">
      <alignment horizontal="right" vertical="center"/>
    </xf>
    <xf numFmtId="8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/>
    </xf>
    <xf numFmtId="10" fontId="9" fillId="0" borderId="0" xfId="6" applyNumberFormat="1" applyFont="1" applyFill="1" applyBorder="1" applyAlignment="1" applyProtection="1">
      <alignment horizontal="left"/>
    </xf>
    <xf numFmtId="0" fontId="38" fillId="0" borderId="7" xfId="0" applyFont="1" applyBorder="1"/>
    <xf numFmtId="0" fontId="38" fillId="0" borderId="3" xfId="0" applyFont="1" applyBorder="1"/>
    <xf numFmtId="0" fontId="38" fillId="0" borderId="10" xfId="0" applyFont="1" applyBorder="1"/>
    <xf numFmtId="8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horizontal="left" vertical="top"/>
    </xf>
    <xf numFmtId="0" fontId="38" fillId="0" borderId="16" xfId="0" applyFont="1" applyBorder="1"/>
    <xf numFmtId="0" fontId="38" fillId="0" borderId="2" xfId="0" applyFont="1" applyBorder="1"/>
    <xf numFmtId="0" fontId="38" fillId="0" borderId="9" xfId="0" applyFont="1" applyBorder="1"/>
    <xf numFmtId="0" fontId="39" fillId="0" borderId="0" xfId="0" applyFont="1"/>
    <xf numFmtId="0" fontId="9" fillId="0" borderId="0" xfId="0" applyFont="1" applyAlignment="1">
      <alignment vertical="top"/>
    </xf>
    <xf numFmtId="0" fontId="19" fillId="3" borderId="0" xfId="0" applyFont="1" applyFill="1" applyAlignment="1" applyProtection="1">
      <alignment horizontal="left" vertical="center"/>
      <protection locked="0"/>
    </xf>
    <xf numFmtId="0" fontId="30" fillId="0" borderId="0" xfId="0" applyFont="1"/>
    <xf numFmtId="164" fontId="9" fillId="3" borderId="0" xfId="0" applyNumberFormat="1" applyFont="1" applyFill="1" applyAlignment="1" applyProtection="1">
      <alignment horizontal="right"/>
      <protection locked="0"/>
    </xf>
    <xf numFmtId="164" fontId="9" fillId="0" borderId="0" xfId="0" applyNumberFormat="1" applyFont="1" applyAlignment="1">
      <alignment horizontal="right"/>
    </xf>
    <xf numFmtId="10" fontId="9" fillId="3" borderId="0" xfId="6" applyNumberFormat="1" applyFont="1" applyFill="1" applyAlignment="1" applyProtection="1">
      <alignment horizontal="left"/>
      <protection locked="0"/>
    </xf>
    <xf numFmtId="0" fontId="5" fillId="0" borderId="0" xfId="0" applyFont="1" applyAlignment="1" applyProtection="1">
      <alignment vertical="top" wrapText="1"/>
      <protection locked="0"/>
    </xf>
    <xf numFmtId="0" fontId="9" fillId="0" borderId="0" xfId="0" applyFont="1" applyAlignment="1" applyProtection="1">
      <alignment horizontal="center"/>
      <protection locked="0"/>
    </xf>
    <xf numFmtId="0" fontId="38" fillId="0" borderId="0" xfId="0" applyFont="1" applyAlignment="1" applyProtection="1">
      <alignment vertical="top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2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8" fontId="19" fillId="0" borderId="0" xfId="0" applyNumberFormat="1" applyFont="1" applyAlignment="1">
      <alignment vertical="center"/>
    </xf>
    <xf numFmtId="0" fontId="5" fillId="0" borderId="11" xfId="0" applyFont="1" applyBorder="1" applyAlignment="1">
      <alignment horizontal="left" vertical="top"/>
    </xf>
    <xf numFmtId="8" fontId="5" fillId="0" borderId="11" xfId="0" applyNumberFormat="1" applyFont="1" applyBorder="1" applyAlignment="1">
      <alignment horizontal="left" vertical="top"/>
    </xf>
    <xf numFmtId="0" fontId="40" fillId="0" borderId="0" xfId="0" applyFont="1"/>
    <xf numFmtId="0" fontId="4" fillId="0" borderId="0" xfId="0" applyFont="1" applyAlignment="1">
      <alignment horizontal="right"/>
    </xf>
    <xf numFmtId="10" fontId="19" fillId="0" borderId="0" xfId="6" applyNumberFormat="1" applyFont="1" applyFill="1" applyBorder="1" applyAlignment="1" applyProtection="1">
      <alignment horizontal="left"/>
    </xf>
    <xf numFmtId="8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left"/>
    </xf>
    <xf numFmtId="0" fontId="29" fillId="0" borderId="0" xfId="0" applyFont="1" applyAlignment="1">
      <alignment vertical="center"/>
    </xf>
    <xf numFmtId="0" fontId="11" fillId="0" borderId="16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0" fontId="11" fillId="0" borderId="0" xfId="6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right" vertical="center"/>
    </xf>
    <xf numFmtId="10" fontId="6" fillId="0" borderId="0" xfId="0" applyNumberFormat="1" applyFont="1" applyAlignment="1">
      <alignment vertical="center"/>
    </xf>
    <xf numFmtId="10" fontId="6" fillId="0" borderId="0" xfId="6" applyNumberFormat="1" applyFont="1" applyFill="1" applyBorder="1" applyAlignment="1" applyProtection="1">
      <alignment horizontal="center" vertical="center"/>
      <protection locked="0"/>
    </xf>
    <xf numFmtId="164" fontId="6" fillId="0" borderId="0" xfId="0" applyNumberFormat="1" applyFont="1" applyAlignment="1">
      <alignment horizontal="right" vertical="center"/>
    </xf>
    <xf numFmtId="10" fontId="11" fillId="0" borderId="0" xfId="6" applyNumberFormat="1" applyFont="1" applyFill="1" applyBorder="1" applyAlignment="1" applyProtection="1">
      <alignment horizontal="center" vertical="center"/>
      <protection locked="0"/>
    </xf>
    <xf numFmtId="8" fontId="6" fillId="0" borderId="0" xfId="0" applyNumberFormat="1" applyFont="1" applyAlignment="1">
      <alignment vertical="center"/>
    </xf>
    <xf numFmtId="10" fontId="11" fillId="0" borderId="5" xfId="6" applyNumberFormat="1" applyFont="1" applyFill="1" applyBorder="1" applyAlignment="1">
      <alignment horizontal="center" vertical="center" shrinkToFit="1"/>
    </xf>
    <xf numFmtId="164" fontId="11" fillId="0" borderId="5" xfId="0" applyNumberFormat="1" applyFont="1" applyBorder="1" applyAlignment="1">
      <alignment vertical="center"/>
    </xf>
    <xf numFmtId="9" fontId="5" fillId="0" borderId="3" xfId="6" applyFont="1" applyBorder="1" applyAlignment="1" applyProtection="1">
      <alignment vertical="center"/>
    </xf>
    <xf numFmtId="9" fontId="5" fillId="0" borderId="5" xfId="6" applyFont="1" applyBorder="1" applyAlignment="1" applyProtection="1">
      <alignment vertical="center"/>
    </xf>
    <xf numFmtId="10" fontId="6" fillId="3" borderId="1" xfId="7" applyNumberFormat="1" applyFont="1" applyFill="1" applyBorder="1" applyAlignment="1" applyProtection="1">
      <alignment vertical="center"/>
      <protection locked="0"/>
    </xf>
    <xf numFmtId="49" fontId="5" fillId="0" borderId="0" xfId="0" applyNumberFormat="1" applyFont="1"/>
    <xf numFmtId="0" fontId="4" fillId="0" borderId="1" xfId="0" applyFont="1" applyBorder="1"/>
    <xf numFmtId="0" fontId="4" fillId="0" borderId="9" xfId="0" applyFont="1" applyBorder="1"/>
    <xf numFmtId="0" fontId="5" fillId="0" borderId="9" xfId="0" applyFont="1" applyBorder="1"/>
    <xf numFmtId="0" fontId="4" fillId="4" borderId="0" xfId="0" applyFont="1" applyFill="1" applyAlignment="1">
      <alignment horizontal="right"/>
    </xf>
    <xf numFmtId="0" fontId="19" fillId="5" borderId="10" xfId="0" applyFont="1" applyFill="1" applyBorder="1" applyAlignment="1">
      <alignment horizontal="left" vertical="center"/>
    </xf>
    <xf numFmtId="0" fontId="5" fillId="5" borderId="15" xfId="0" applyFont="1" applyFill="1" applyBorder="1" applyAlignment="1" applyProtection="1">
      <alignment horizontal="center" vertical="center"/>
      <protection locked="0"/>
    </xf>
    <xf numFmtId="44" fontId="41" fillId="0" borderId="20" xfId="2" applyFont="1" applyFill="1" applyBorder="1" applyAlignment="1" applyProtection="1">
      <alignment horizontal="left" vertical="center"/>
    </xf>
    <xf numFmtId="0" fontId="41" fillId="0" borderId="20" xfId="0" applyFont="1" applyBorder="1"/>
    <xf numFmtId="1" fontId="19" fillId="0" borderId="0" xfId="0" applyNumberFormat="1" applyFont="1" applyProtection="1">
      <protection locked="0"/>
    </xf>
    <xf numFmtId="0" fontId="9" fillId="0" borderId="0" xfId="0" applyFont="1" applyAlignment="1" applyProtection="1">
      <alignment vertical="center" wrapText="1"/>
      <protection locked="0"/>
    </xf>
    <xf numFmtId="166" fontId="5" fillId="0" borderId="0" xfId="6" applyNumberFormat="1" applyFont="1" applyFill="1" applyBorder="1" applyAlignment="1" applyProtection="1">
      <alignment horizontal="left"/>
    </xf>
    <xf numFmtId="0" fontId="7" fillId="0" borderId="0" xfId="0" applyFont="1" applyAlignment="1">
      <alignment horizontal="left"/>
    </xf>
    <xf numFmtId="164" fontId="19" fillId="0" borderId="0" xfId="0" applyNumberFormat="1" applyFont="1" applyAlignment="1">
      <alignment horizontal="right" shrinkToFit="1"/>
    </xf>
    <xf numFmtId="0" fontId="4" fillId="0" borderId="0" xfId="0" applyFont="1" applyAlignment="1">
      <alignment horizontal="left"/>
    </xf>
    <xf numFmtId="8" fontId="19" fillId="0" borderId="0" xfId="0" applyNumberFormat="1" applyFont="1" applyAlignment="1">
      <alignment horizontal="left" vertical="center"/>
    </xf>
    <xf numFmtId="0" fontId="19" fillId="0" borderId="0" xfId="0" applyFont="1" applyAlignment="1" applyProtection="1">
      <alignment horizontal="left" vertical="center"/>
      <protection locked="0"/>
    </xf>
    <xf numFmtId="0" fontId="11" fillId="0" borderId="15" xfId="0" applyFont="1" applyBorder="1" applyAlignment="1">
      <alignment horizontal="center" vertical="center" wrapText="1"/>
    </xf>
    <xf numFmtId="0" fontId="9" fillId="0" borderId="0" xfId="0" applyFont="1" applyAlignment="1" applyProtection="1">
      <alignment horizontal="left"/>
      <protection locked="0"/>
    </xf>
    <xf numFmtId="0" fontId="42" fillId="5" borderId="9" xfId="0" applyFont="1" applyFill="1" applyBorder="1"/>
    <xf numFmtId="168" fontId="6" fillId="3" borderId="21" xfId="0" applyNumberFormat="1" applyFont="1" applyFill="1" applyBorder="1" applyAlignment="1" applyProtection="1">
      <alignment horizontal="center" vertical="center"/>
      <protection locked="0"/>
    </xf>
    <xf numFmtId="164" fontId="6" fillId="3" borderId="21" xfId="0" applyNumberFormat="1" applyFont="1" applyFill="1" applyBorder="1" applyAlignment="1" applyProtection="1">
      <alignment horizontal="center" vertical="center"/>
      <protection locked="0"/>
    </xf>
    <xf numFmtId="164" fontId="6" fillId="3" borderId="22" xfId="0" applyNumberFormat="1" applyFont="1" applyFill="1" applyBorder="1" applyAlignment="1" applyProtection="1">
      <alignment horizontal="right" vertical="center"/>
      <protection locked="0"/>
    </xf>
    <xf numFmtId="164" fontId="6" fillId="3" borderId="21" xfId="0" applyNumberFormat="1" applyFont="1" applyFill="1" applyBorder="1" applyAlignment="1" applyProtection="1">
      <alignment horizontal="right" vertical="center"/>
      <protection locked="0"/>
    </xf>
    <xf numFmtId="168" fontId="6" fillId="3" borderId="23" xfId="0" applyNumberFormat="1" applyFont="1" applyFill="1" applyBorder="1" applyAlignment="1" applyProtection="1">
      <alignment horizontal="center" vertical="center"/>
      <protection locked="0"/>
    </xf>
    <xf numFmtId="164" fontId="6" fillId="3" borderId="23" xfId="0" applyNumberFormat="1" applyFont="1" applyFill="1" applyBorder="1" applyAlignment="1" applyProtection="1">
      <alignment horizontal="center" vertical="center"/>
      <protection locked="0"/>
    </xf>
    <xf numFmtId="164" fontId="6" fillId="3" borderId="24" xfId="0" applyNumberFormat="1" applyFont="1" applyFill="1" applyBorder="1" applyAlignment="1" applyProtection="1">
      <alignment horizontal="right" vertical="center"/>
      <protection locked="0"/>
    </xf>
    <xf numFmtId="164" fontId="6" fillId="3" borderId="23" xfId="0" applyNumberFormat="1" applyFont="1" applyFill="1" applyBorder="1" applyAlignment="1" applyProtection="1">
      <alignment horizontal="right" vertical="center"/>
      <protection locked="0"/>
    </xf>
    <xf numFmtId="0" fontId="43" fillId="0" borderId="0" xfId="0" applyFont="1"/>
    <xf numFmtId="0" fontId="44" fillId="0" borderId="0" xfId="0" applyFont="1" applyAlignment="1">
      <alignment shrinkToFit="1"/>
    </xf>
    <xf numFmtId="0" fontId="44" fillId="0" borderId="0" xfId="0" applyFont="1" applyAlignment="1">
      <alignment vertical="center" shrinkToFit="1"/>
    </xf>
    <xf numFmtId="0" fontId="23" fillId="0" borderId="2" xfId="0" applyFont="1" applyBorder="1" applyAlignment="1">
      <alignment vertical="center"/>
    </xf>
    <xf numFmtId="0" fontId="5" fillId="0" borderId="0" xfId="0" applyFont="1" applyAlignment="1" applyProtection="1">
      <alignment horizontal="left"/>
      <protection locked="0"/>
    </xf>
    <xf numFmtId="167" fontId="5" fillId="0" borderId="0" xfId="0" applyNumberFormat="1" applyFont="1" applyAlignment="1" applyProtection="1">
      <alignment horizontal="left"/>
      <protection locked="0"/>
    </xf>
    <xf numFmtId="0" fontId="5" fillId="0" borderId="9" xfId="0" applyFont="1" applyBorder="1" applyAlignment="1">
      <alignment vertical="center" textRotation="90"/>
    </xf>
    <xf numFmtId="0" fontId="5" fillId="0" borderId="0" xfId="0" applyFont="1" applyAlignment="1">
      <alignment vertical="center" textRotation="90"/>
    </xf>
    <xf numFmtId="0" fontId="45" fillId="0" borderId="0" xfId="0" applyFont="1" applyAlignment="1">
      <alignment horizontal="right"/>
    </xf>
    <xf numFmtId="10" fontId="38" fillId="4" borderId="0" xfId="0" applyNumberFormat="1" applyFont="1" applyFill="1"/>
    <xf numFmtId="8" fontId="38" fillId="0" borderId="0" xfId="0" applyNumberFormat="1" applyFont="1"/>
    <xf numFmtId="0" fontId="36" fillId="0" borderId="4" xfId="4" applyFont="1" applyBorder="1" applyAlignment="1">
      <alignment horizontal="center"/>
    </xf>
    <xf numFmtId="0" fontId="36" fillId="0" borderId="17" xfId="4" applyFont="1" applyBorder="1" applyAlignment="1">
      <alignment horizontal="center"/>
    </xf>
    <xf numFmtId="49" fontId="36" fillId="0" borderId="18" xfId="4" applyNumberFormat="1" applyFont="1" applyBorder="1" applyAlignment="1">
      <alignment horizontal="center" vertical="top"/>
    </xf>
    <xf numFmtId="49" fontId="36" fillId="0" borderId="19" xfId="4" applyNumberFormat="1" applyFont="1" applyBorder="1" applyAlignment="1">
      <alignment horizontal="center" vertical="top"/>
    </xf>
    <xf numFmtId="0" fontId="9" fillId="5" borderId="0" xfId="0" applyFont="1" applyFill="1" applyAlignment="1" applyProtection="1">
      <alignment horizontal="center"/>
      <protection locked="0"/>
    </xf>
    <xf numFmtId="170" fontId="19" fillId="3" borderId="1" xfId="0" applyNumberFormat="1" applyFont="1" applyFill="1" applyBorder="1" applyAlignment="1" applyProtection="1">
      <alignment horizontal="center" vertical="center"/>
      <protection locked="0"/>
    </xf>
    <xf numFmtId="170" fontId="19" fillId="3" borderId="0" xfId="0" applyNumberFormat="1" applyFont="1" applyFill="1" applyAlignment="1" applyProtection="1">
      <alignment horizontal="center" vertical="center"/>
      <protection locked="0"/>
    </xf>
    <xf numFmtId="14" fontId="19" fillId="3" borderId="0" xfId="0" quotePrefix="1" applyNumberFormat="1" applyFont="1" applyFill="1" applyAlignment="1" applyProtection="1">
      <alignment horizontal="center" vertical="center"/>
      <protection locked="0"/>
    </xf>
    <xf numFmtId="14" fontId="19" fillId="3" borderId="0" xfId="0" applyNumberFormat="1" applyFont="1" applyFill="1" applyAlignment="1" applyProtection="1">
      <alignment horizontal="center" vertical="center"/>
      <protection locked="0"/>
    </xf>
    <xf numFmtId="0" fontId="0" fillId="5" borderId="0" xfId="0" applyFill="1" applyAlignment="1">
      <alignment horizontal="left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left" vertical="center"/>
    </xf>
    <xf numFmtId="0" fontId="41" fillId="0" borderId="28" xfId="0" applyFont="1" applyBorder="1" applyAlignment="1">
      <alignment horizontal="left" vertical="center"/>
    </xf>
    <xf numFmtId="0" fontId="41" fillId="0" borderId="29" xfId="0" applyFont="1" applyBorder="1" applyAlignment="1">
      <alignment horizontal="left" vertical="center"/>
    </xf>
    <xf numFmtId="8" fontId="41" fillId="0" borderId="20" xfId="0" applyNumberFormat="1" applyFont="1" applyBorder="1" applyAlignment="1">
      <alignment horizontal="left" vertical="center"/>
    </xf>
    <xf numFmtId="0" fontId="19" fillId="3" borderId="0" xfId="0" applyFont="1" applyFill="1" applyAlignment="1" applyProtection="1">
      <alignment horizontal="left" vertical="center"/>
      <protection locked="0"/>
    </xf>
    <xf numFmtId="0" fontId="5" fillId="0" borderId="0" xfId="0" applyFont="1" applyAlignment="1">
      <alignment horizontal="center"/>
    </xf>
    <xf numFmtId="0" fontId="5" fillId="3" borderId="0" xfId="0" applyFont="1" applyFill="1" applyAlignment="1" applyProtection="1">
      <alignment horizontal="left"/>
      <protection locked="0"/>
    </xf>
    <xf numFmtId="0" fontId="19" fillId="5" borderId="1" xfId="0" applyFont="1" applyFill="1" applyBorder="1" applyAlignment="1">
      <alignment horizontal="left" vertical="center"/>
    </xf>
    <xf numFmtId="0" fontId="19" fillId="5" borderId="0" xfId="0" applyFont="1" applyFill="1" applyAlignment="1">
      <alignment horizontal="left" vertical="center"/>
    </xf>
    <xf numFmtId="49" fontId="5" fillId="5" borderId="0" xfId="0" applyNumberFormat="1" applyFont="1" applyFill="1" applyAlignment="1">
      <alignment horizontal="left"/>
    </xf>
    <xf numFmtId="0" fontId="5" fillId="5" borderId="0" xfId="0" applyFont="1" applyFill="1" applyAlignment="1">
      <alignment horizontal="left"/>
    </xf>
    <xf numFmtId="49" fontId="19" fillId="5" borderId="1" xfId="0" applyNumberFormat="1" applyFont="1" applyFill="1" applyBorder="1" applyAlignment="1" applyProtection="1">
      <alignment horizontal="left"/>
      <protection locked="0"/>
    </xf>
    <xf numFmtId="49" fontId="19" fillId="5" borderId="0" xfId="0" applyNumberFormat="1" applyFont="1" applyFill="1" applyAlignment="1" applyProtection="1">
      <alignment horizontal="left"/>
      <protection locked="0"/>
    </xf>
    <xf numFmtId="49" fontId="19" fillId="5" borderId="9" xfId="0" applyNumberFormat="1" applyFont="1" applyFill="1" applyBorder="1" applyAlignment="1" applyProtection="1">
      <alignment horizontal="left"/>
      <protection locked="0"/>
    </xf>
    <xf numFmtId="0" fontId="19" fillId="5" borderId="10" xfId="0" applyFont="1" applyFill="1" applyBorder="1" applyAlignment="1" applyProtection="1">
      <alignment horizontal="left"/>
      <protection locked="0"/>
    </xf>
    <xf numFmtId="0" fontId="19" fillId="5" borderId="5" xfId="0" applyFont="1" applyFill="1" applyBorder="1" applyAlignment="1" applyProtection="1">
      <alignment horizontal="left"/>
      <protection locked="0"/>
    </xf>
    <xf numFmtId="0" fontId="19" fillId="5" borderId="11" xfId="0" applyFont="1" applyFill="1" applyBorder="1" applyAlignment="1" applyProtection="1">
      <alignment horizontal="left"/>
      <protection locked="0"/>
    </xf>
    <xf numFmtId="167" fontId="9" fillId="5" borderId="10" xfId="0" applyNumberFormat="1" applyFont="1" applyFill="1" applyBorder="1" applyAlignment="1" applyProtection="1">
      <alignment horizontal="left"/>
      <protection locked="0"/>
    </xf>
    <xf numFmtId="167" fontId="9" fillId="5" borderId="5" xfId="0" applyNumberFormat="1" applyFont="1" applyFill="1" applyBorder="1" applyAlignment="1" applyProtection="1">
      <alignment horizontal="left"/>
      <protection locked="0"/>
    </xf>
    <xf numFmtId="167" fontId="9" fillId="5" borderId="11" xfId="0" applyNumberFormat="1" applyFont="1" applyFill="1" applyBorder="1" applyAlignment="1" applyProtection="1">
      <alignment horizontal="left"/>
      <protection locked="0"/>
    </xf>
    <xf numFmtId="0" fontId="5" fillId="0" borderId="0" xfId="0" applyFont="1" applyAlignment="1">
      <alignment horizontal="right"/>
    </xf>
    <xf numFmtId="49" fontId="19" fillId="5" borderId="1" xfId="0" applyNumberFormat="1" applyFont="1" applyFill="1" applyBorder="1" applyAlignment="1">
      <alignment horizontal="left" vertical="center"/>
    </xf>
    <xf numFmtId="49" fontId="19" fillId="5" borderId="0" xfId="0" applyNumberFormat="1" applyFont="1" applyFill="1" applyAlignment="1">
      <alignment horizontal="left" vertical="center"/>
    </xf>
    <xf numFmtId="49" fontId="19" fillId="5" borderId="9" xfId="0" applyNumberFormat="1" applyFont="1" applyFill="1" applyBorder="1" applyAlignment="1">
      <alignment horizontal="left" vertical="center"/>
    </xf>
    <xf numFmtId="0" fontId="19" fillId="5" borderId="10" xfId="0" applyFont="1" applyFill="1" applyBorder="1" applyAlignment="1">
      <alignment horizontal="left" vertical="center"/>
    </xf>
    <xf numFmtId="0" fontId="19" fillId="5" borderId="5" xfId="0" applyFont="1" applyFill="1" applyBorder="1" applyAlignment="1">
      <alignment horizontal="left" vertical="center"/>
    </xf>
    <xf numFmtId="14" fontId="19" fillId="3" borderId="0" xfId="0" applyNumberFormat="1" applyFont="1" applyFill="1" applyAlignment="1" applyProtection="1">
      <alignment horizontal="left" vertical="center"/>
      <protection locked="0"/>
    </xf>
    <xf numFmtId="0" fontId="10" fillId="0" borderId="0" xfId="0" applyFont="1" applyAlignment="1">
      <alignment horizontal="left"/>
    </xf>
    <xf numFmtId="0" fontId="19" fillId="5" borderId="11" xfId="0" applyFont="1" applyFill="1" applyBorder="1" applyAlignment="1">
      <alignment horizontal="left" vertical="center"/>
    </xf>
    <xf numFmtId="0" fontId="19" fillId="5" borderId="9" xfId="0" applyFont="1" applyFill="1" applyBorder="1" applyAlignment="1">
      <alignment horizontal="left" vertical="center"/>
    </xf>
    <xf numFmtId="165" fontId="4" fillId="3" borderId="0" xfId="0" applyNumberFormat="1" applyFont="1" applyFill="1" applyAlignment="1" applyProtection="1">
      <alignment horizontal="left" vertical="center"/>
      <protection locked="0"/>
    </xf>
    <xf numFmtId="0" fontId="37" fillId="5" borderId="10" xfId="1" applyFill="1" applyBorder="1" applyAlignment="1" applyProtection="1">
      <alignment horizontal="left"/>
      <protection locked="0"/>
    </xf>
    <xf numFmtId="0" fontId="46" fillId="5" borderId="5" xfId="1" applyFont="1" applyFill="1" applyBorder="1" applyAlignment="1" applyProtection="1">
      <alignment horizontal="left"/>
      <protection locked="0"/>
    </xf>
    <xf numFmtId="0" fontId="46" fillId="5" borderId="11" xfId="1" applyFont="1" applyFill="1" applyBorder="1" applyAlignment="1" applyProtection="1">
      <alignment horizontal="left"/>
      <protection locked="0"/>
    </xf>
    <xf numFmtId="1" fontId="19" fillId="5" borderId="0" xfId="0" applyNumberFormat="1" applyFont="1" applyFill="1" applyAlignment="1" applyProtection="1">
      <alignment horizontal="left"/>
      <protection locked="0"/>
    </xf>
    <xf numFmtId="0" fontId="38" fillId="3" borderId="1" xfId="0" applyFont="1" applyFill="1" applyBorder="1" applyAlignment="1" applyProtection="1">
      <alignment horizontal="left" vertical="top" wrapText="1"/>
      <protection locked="0"/>
    </xf>
    <xf numFmtId="0" fontId="38" fillId="3" borderId="0" xfId="0" applyFont="1" applyFill="1" applyAlignment="1" applyProtection="1">
      <alignment horizontal="left" vertical="top" wrapText="1"/>
      <protection locked="0"/>
    </xf>
    <xf numFmtId="0" fontId="38" fillId="3" borderId="9" xfId="0" applyFont="1" applyFill="1" applyBorder="1" applyAlignment="1" applyProtection="1">
      <alignment horizontal="left" vertical="top" wrapText="1"/>
      <protection locked="0"/>
    </xf>
    <xf numFmtId="0" fontId="38" fillId="3" borderId="10" xfId="0" applyFont="1" applyFill="1" applyBorder="1" applyAlignment="1" applyProtection="1">
      <alignment horizontal="left" vertical="top" wrapText="1"/>
      <protection locked="0"/>
    </xf>
    <xf numFmtId="0" fontId="38" fillId="3" borderId="5" xfId="0" applyFont="1" applyFill="1" applyBorder="1" applyAlignment="1" applyProtection="1">
      <alignment horizontal="left" vertical="top" wrapText="1"/>
      <protection locked="0"/>
    </xf>
    <xf numFmtId="0" fontId="38" fillId="3" borderId="11" xfId="0" applyFont="1" applyFill="1" applyBorder="1" applyAlignment="1" applyProtection="1">
      <alignment horizontal="left" vertical="top" wrapText="1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0" fontId="11" fillId="0" borderId="14" xfId="0" applyFont="1" applyBorder="1" applyAlignment="1">
      <alignment horizontal="center" vertical="center" textRotation="90" wrapText="1"/>
    </xf>
    <xf numFmtId="0" fontId="11" fillId="0" borderId="15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 wrapText="1"/>
    </xf>
    <xf numFmtId="8" fontId="19" fillId="3" borderId="0" xfId="0" applyNumberFormat="1" applyFont="1" applyFill="1" applyAlignment="1" applyProtection="1">
      <alignment horizontal="right" vertical="center"/>
      <protection locked="0"/>
    </xf>
    <xf numFmtId="8" fontId="19" fillId="0" borderId="0" xfId="0" applyNumberFormat="1" applyFont="1" applyAlignment="1">
      <alignment horizontal="left" vertical="center"/>
    </xf>
    <xf numFmtId="0" fontId="9" fillId="0" borderId="0" xfId="0" applyFont="1" applyAlignment="1" applyProtection="1">
      <alignment horizontal="left"/>
      <protection locked="0"/>
    </xf>
    <xf numFmtId="164" fontId="19" fillId="3" borderId="0" xfId="0" applyNumberFormat="1" applyFont="1" applyFill="1" applyAlignment="1" applyProtection="1">
      <alignment horizontal="left" vertical="center"/>
      <protection locked="0"/>
    </xf>
    <xf numFmtId="0" fontId="19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3" borderId="24" xfId="0" applyFont="1" applyFill="1" applyBorder="1" applyAlignment="1" applyProtection="1">
      <alignment horizontal="left"/>
      <protection locked="0"/>
    </xf>
    <xf numFmtId="0" fontId="6" fillId="3" borderId="25" xfId="0" applyFont="1" applyFill="1" applyBorder="1" applyAlignment="1" applyProtection="1">
      <alignment horizontal="left"/>
      <protection locked="0"/>
    </xf>
    <xf numFmtId="0" fontId="11" fillId="0" borderId="1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6" fillId="3" borderId="22" xfId="0" applyFont="1" applyFill="1" applyBorder="1" applyAlignment="1" applyProtection="1">
      <alignment horizontal="center" vertical="center" wrapText="1"/>
      <protection locked="0"/>
    </xf>
    <xf numFmtId="0" fontId="6" fillId="3" borderId="26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 wrapText="1"/>
    </xf>
    <xf numFmtId="0" fontId="19" fillId="0" borderId="2" xfId="0" applyFont="1" applyBorder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33" fillId="0" borderId="14" xfId="0" applyFont="1" applyBorder="1" applyAlignment="1">
      <alignment horizontal="center" vertical="center" wrapText="1"/>
    </xf>
    <xf numFmtId="8" fontId="19" fillId="3" borderId="0" xfId="0" applyNumberFormat="1" applyFont="1" applyFill="1" applyAlignment="1" applyProtection="1">
      <alignment horizontal="left" vertical="center"/>
      <protection locked="0"/>
    </xf>
    <xf numFmtId="49" fontId="19" fillId="5" borderId="10" xfId="0" applyNumberFormat="1" applyFont="1" applyFill="1" applyBorder="1" applyAlignment="1" applyProtection="1">
      <alignment horizontal="left"/>
      <protection locked="0"/>
    </xf>
    <xf numFmtId="49" fontId="19" fillId="5" borderId="5" xfId="0" applyNumberFormat="1" applyFont="1" applyFill="1" applyBorder="1" applyAlignment="1" applyProtection="1">
      <alignment horizontal="left"/>
      <protection locked="0"/>
    </xf>
    <xf numFmtId="49" fontId="19" fillId="5" borderId="11" xfId="0" applyNumberFormat="1" applyFont="1" applyFill="1" applyBorder="1" applyAlignment="1" applyProtection="1">
      <alignment horizontal="left"/>
      <protection locked="0"/>
    </xf>
    <xf numFmtId="164" fontId="9" fillId="0" borderId="2" xfId="0" applyNumberFormat="1" applyFont="1" applyBorder="1" applyAlignment="1">
      <alignment horizontal="left"/>
    </xf>
    <xf numFmtId="164" fontId="9" fillId="0" borderId="6" xfId="0" applyNumberFormat="1" applyFont="1" applyBorder="1" applyAlignment="1">
      <alignment horizontal="left"/>
    </xf>
    <xf numFmtId="0" fontId="5" fillId="3" borderId="1" xfId="0" applyFont="1" applyFill="1" applyBorder="1" applyAlignment="1" applyProtection="1">
      <alignment horizontal="left" vertical="top" wrapText="1"/>
      <protection locked="0"/>
    </xf>
    <xf numFmtId="0" fontId="5" fillId="3" borderId="0" xfId="0" applyFont="1" applyFill="1" applyAlignment="1" applyProtection="1">
      <alignment horizontal="left" vertical="top" wrapText="1"/>
      <protection locked="0"/>
    </xf>
    <xf numFmtId="8" fontId="19" fillId="0" borderId="0" xfId="0" applyNumberFormat="1" applyFont="1" applyAlignment="1">
      <alignment horizontal="left"/>
    </xf>
    <xf numFmtId="8" fontId="19" fillId="0" borderId="3" xfId="0" applyNumberFormat="1" applyFont="1" applyBorder="1" applyAlignment="1">
      <alignment horizontal="left" vertical="center"/>
    </xf>
    <xf numFmtId="8" fontId="19" fillId="0" borderId="8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 textRotation="90"/>
    </xf>
    <xf numFmtId="0" fontId="5" fillId="0" borderId="9" xfId="0" applyFont="1" applyBorder="1" applyAlignment="1">
      <alignment horizontal="center" vertical="center" textRotation="90"/>
    </xf>
    <xf numFmtId="0" fontId="4" fillId="0" borderId="0" xfId="3" applyFont="1" applyAlignment="1">
      <alignment horizontal="center" vertical="center" shrinkToFit="1"/>
    </xf>
    <xf numFmtId="167" fontId="5" fillId="3" borderId="0" xfId="0" applyNumberFormat="1" applyFont="1" applyFill="1" applyAlignment="1" applyProtection="1">
      <alignment horizontal="left"/>
      <protection locked="0"/>
    </xf>
    <xf numFmtId="0" fontId="19" fillId="0" borderId="7" xfId="3" applyFont="1" applyBorder="1" applyAlignment="1">
      <alignment horizontal="center" vertical="center"/>
    </xf>
    <xf numFmtId="0" fontId="19" fillId="0" borderId="8" xfId="3" applyFont="1" applyBorder="1" applyAlignment="1">
      <alignment horizontal="center" vertical="center"/>
    </xf>
    <xf numFmtId="10" fontId="4" fillId="0" borderId="0" xfId="5" applyNumberFormat="1" applyFont="1" applyAlignment="1">
      <alignment horizontal="center" vertical="center" wrapText="1"/>
    </xf>
    <xf numFmtId="0" fontId="4" fillId="0" borderId="1" xfId="3" applyFont="1" applyBorder="1" applyAlignment="1">
      <alignment horizontal="center" vertical="center"/>
    </xf>
    <xf numFmtId="0" fontId="4" fillId="0" borderId="9" xfId="3" applyFont="1" applyBorder="1" applyAlignment="1">
      <alignment horizontal="center" vertical="center"/>
    </xf>
    <xf numFmtId="10" fontId="19" fillId="0" borderId="10" xfId="6" applyNumberFormat="1" applyFont="1" applyFill="1" applyBorder="1" applyAlignment="1" applyProtection="1">
      <alignment horizontal="center" vertical="center"/>
    </xf>
    <xf numFmtId="10" fontId="19" fillId="0" borderId="11" xfId="6" applyNumberFormat="1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left" vertical="center"/>
      <protection locked="0"/>
    </xf>
    <xf numFmtId="164" fontId="6" fillId="3" borderId="0" xfId="9" applyNumberFormat="1" applyFont="1" applyFill="1" applyBorder="1" applyAlignment="1" applyProtection="1">
      <alignment horizontal="left" vertical="center"/>
      <protection locked="0"/>
    </xf>
    <xf numFmtId="0" fontId="11" fillId="0" borderId="12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right" vertical="center"/>
    </xf>
    <xf numFmtId="164" fontId="5" fillId="0" borderId="5" xfId="0" applyNumberFormat="1" applyFont="1" applyBorder="1" applyAlignment="1">
      <alignment horizontal="right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right" vertical="center"/>
    </xf>
  </cellXfs>
  <cellStyles count="11">
    <cellStyle name="Hiperlink" xfId="1" builtinId="8"/>
    <cellStyle name="Moeda" xfId="2" builtinId="4"/>
    <cellStyle name="Normal" xfId="0" builtinId="0"/>
    <cellStyle name="Normal 2" xfId="3" xr:uid="{0714514C-4D84-43F3-9BC1-004059053359}"/>
    <cellStyle name="Normal_LAE-OGU" xfId="4" xr:uid="{32E570CC-D254-4C50-963F-6C28F51897E4}"/>
    <cellStyle name="Normal_RVT FL - 01" xfId="5" xr:uid="{F3B0212F-3DAB-4E6A-8ABB-5CD5E2078A80}"/>
    <cellStyle name="Porcentagem" xfId="6" builtinId="5"/>
    <cellStyle name="Porcentagem 2" xfId="7" xr:uid="{041F7146-AFDF-460A-9974-3ED3941C1115}"/>
    <cellStyle name="Separador de milhares_2QJARDIN" xfId="8" xr:uid="{E1015EEE-A8A8-472F-92EB-5E6E8C8292D4}"/>
    <cellStyle name="Vírgula" xfId="9" builtinId="3"/>
    <cellStyle name="Vírgula 2" xfId="10" xr:uid="{BDA1ADCD-1B05-4172-8676-F0901BAEFEBC}"/>
  </cellStyles>
  <dxfs count="99">
    <dxf>
      <font>
        <b/>
        <i val="0"/>
        <condense val="0"/>
        <extend val="0"/>
        <color indexed="10"/>
      </font>
      <border>
        <left style="hair">
          <color indexed="10"/>
        </left>
        <right style="hair">
          <color indexed="10"/>
        </right>
        <top style="hair">
          <color indexed="10"/>
        </top>
        <bottom style="hair">
          <color indexed="10"/>
        </bottom>
      </border>
    </dxf>
    <dxf>
      <font>
        <color indexed="9"/>
      </font>
      <fill>
        <patternFill>
          <bgColor indexed="9"/>
        </patternFill>
      </fill>
    </dxf>
    <dxf>
      <font>
        <b/>
        <i val="0"/>
        <condense val="0"/>
        <extend val="0"/>
        <color indexed="10"/>
      </font>
      <border>
        <left style="hair">
          <color indexed="10"/>
        </left>
        <right style="hair">
          <color indexed="10"/>
        </right>
        <top style="hair">
          <color indexed="10"/>
        </top>
        <bottom style="hair">
          <color indexed="10"/>
        </bottom>
      </border>
    </dxf>
    <dxf>
      <font>
        <b/>
        <i val="0"/>
      </font>
    </dxf>
    <dxf>
      <font>
        <color indexed="9"/>
      </font>
      <fill>
        <patternFill>
          <bgColor indexed="9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</border>
    </dxf>
    <dxf>
      <font>
        <color theme="0"/>
      </font>
      <fill>
        <patternFill>
          <bgColor theme="0"/>
        </patternFill>
      </fill>
    </dxf>
    <dxf>
      <font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</border>
    </dxf>
    <dxf>
      <font>
        <color theme="0"/>
      </font>
      <fill>
        <patternFill>
          <bgColor theme="0"/>
        </patternFill>
      </fill>
    </dxf>
    <dxf>
      <font>
        <b/>
        <i val="0"/>
      </font>
    </dxf>
    <dxf>
      <font>
        <color indexed="9"/>
      </font>
      <fill>
        <patternFill>
          <bgColor indexed="9"/>
        </patternFill>
      </fill>
    </dxf>
    <dxf>
      <font>
        <b/>
        <i val="0"/>
        <color indexed="10"/>
      </font>
      <border>
        <left style="hair">
          <color indexed="10"/>
        </left>
        <right style="hair">
          <color indexed="10"/>
        </right>
        <top style="hair">
          <color indexed="10"/>
        </top>
        <bottom style="hair">
          <color indexed="10"/>
        </bottom>
      </border>
    </dxf>
    <dxf>
      <font>
        <b/>
        <i val="0"/>
      </font>
    </dxf>
    <dxf>
      <font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</border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ndense val="0"/>
        <extend val="0"/>
        <color auto="1"/>
      </font>
    </dxf>
    <dxf>
      <font>
        <b/>
        <i val="0"/>
        <condense val="0"/>
        <extend val="0"/>
        <color indexed="10"/>
      </font>
      <border>
        <left style="hair">
          <color indexed="10"/>
        </left>
        <right style="hair">
          <color indexed="10"/>
        </right>
        <top style="hair">
          <color indexed="10"/>
        </top>
        <bottom style="hair">
          <color indexed="10"/>
        </bottom>
      </border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b/>
        <i val="0"/>
        <condense val="0"/>
        <extend val="0"/>
        <color auto="1"/>
      </font>
    </dxf>
    <dxf>
      <font>
        <b/>
        <i val="0"/>
        <condense val="0"/>
        <extend val="0"/>
        <color indexed="10"/>
      </font>
      <border>
        <left style="hair">
          <color indexed="10"/>
        </left>
        <right style="hair">
          <color indexed="10"/>
        </right>
        <top style="hair">
          <color indexed="10"/>
        </top>
        <bottom style="hair">
          <color indexed="10"/>
        </bottom>
      </border>
    </dxf>
    <dxf>
      <font>
        <b/>
        <i val="0"/>
        <condense val="0"/>
        <extend val="0"/>
        <color indexed="9"/>
      </font>
      <fill>
        <patternFill>
          <bgColor indexed="9"/>
        </patternFill>
      </fill>
    </dxf>
    <dxf>
      <font>
        <b/>
        <i val="0"/>
        <condense val="0"/>
        <extend val="0"/>
        <color indexed="9"/>
      </font>
      <fill>
        <patternFill>
          <bgColor indexed="9"/>
        </patternFill>
      </fill>
    </dxf>
    <dxf>
      <font>
        <b val="0"/>
        <i/>
        <color rgb="FFC00000"/>
      </font>
    </dxf>
    <dxf>
      <font>
        <color rgb="FFFF0000"/>
      </font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</border>
    </dxf>
    <dxf>
      <font>
        <color theme="0"/>
      </font>
      <fill>
        <patternFill>
          <bgColor theme="0"/>
        </patternFill>
      </fill>
    </dxf>
    <dxf>
      <font>
        <b/>
        <i val="0"/>
      </font>
    </dxf>
    <dxf>
      <font>
        <b/>
        <i val="0"/>
        <condense val="0"/>
        <extend val="0"/>
      </font>
      <fill>
        <patternFill>
          <bgColor indexed="31"/>
        </patternFill>
      </fill>
    </dxf>
    <dxf>
      <font>
        <b/>
        <i val="0"/>
      </font>
      <fill>
        <patternFill>
          <bgColor indexed="31"/>
        </patternFill>
      </fill>
    </dxf>
    <dxf>
      <font>
        <b/>
        <i val="0"/>
      </font>
      <fill>
        <patternFill>
          <bgColor indexed="31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b/>
        <i val="0"/>
        <condense val="0"/>
        <extend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b val="0"/>
        <i/>
        <color rgb="FFC00000"/>
      </font>
    </dxf>
    <dxf>
      <font>
        <condense val="0"/>
        <extend val="0"/>
        <color indexed="9"/>
      </font>
      <fill>
        <patternFill>
          <bgColor indexed="9"/>
        </patternFill>
      </fill>
      <border>
        <left/>
        <right/>
        <top/>
        <bottom/>
      </border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theme="0"/>
        </patternFill>
      </fill>
    </dxf>
    <dxf>
      <font>
        <color indexed="9"/>
      </font>
      <fill>
        <patternFill>
          <bgColor indexed="9"/>
        </patternFill>
      </fill>
    </dxf>
    <dxf>
      <font>
        <b val="0"/>
        <i/>
        <color indexed="60"/>
      </font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lor indexed="9"/>
      </font>
      <fill>
        <patternFill>
          <bgColor indexed="9"/>
        </patternFill>
      </fill>
      <border>
        <left/>
        <right/>
        <top/>
        <bottom/>
      </border>
    </dxf>
    <dxf>
      <font>
        <color indexed="9"/>
      </font>
      <fill>
        <patternFill>
          <bgColor indexed="9"/>
        </patternFill>
      </fill>
      <border>
        <left/>
        <right/>
        <top/>
        <bottom/>
      </border>
    </dxf>
    <dxf>
      <font>
        <b val="0"/>
        <i/>
        <condense val="0"/>
        <extend val="0"/>
        <color indexed="60"/>
      </font>
    </dxf>
    <dxf>
      <font>
        <b val="0"/>
        <i/>
        <color indexed="60"/>
      </font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lor indexed="9"/>
      </font>
      <fill>
        <patternFill>
          <bgColor indexed="9"/>
        </patternFill>
      </fill>
      <border>
        <left/>
        <right/>
        <top/>
        <bottom/>
      </border>
    </dxf>
    <dxf>
      <font>
        <color theme="0"/>
      </font>
    </dxf>
    <dxf>
      <font>
        <color theme="0" tint="-0.2499465926084170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lor indexed="9"/>
      </font>
      <fill>
        <patternFill>
          <bgColor indexed="9"/>
        </patternFill>
      </fill>
      <border>
        <left/>
        <right/>
        <top/>
        <bottom/>
      </border>
    </dxf>
    <dxf>
      <font>
        <condense val="0"/>
        <extend val="0"/>
        <color indexed="9"/>
      </font>
      <fill>
        <patternFill>
          <bgColor indexed="9"/>
        </patternFill>
      </fill>
      <border>
        <left/>
        <right/>
        <top/>
        <bottom/>
      </border>
    </dxf>
    <dxf>
      <font>
        <color indexed="9"/>
      </font>
      <fill>
        <patternFill>
          <bgColor indexed="9"/>
        </patternFill>
      </fill>
      <border>
        <left/>
        <right/>
        <top/>
        <bottom/>
      </border>
    </dxf>
    <dxf>
      <font>
        <color indexed="9"/>
      </font>
      <fill>
        <patternFill>
          <bgColor indexed="9"/>
        </patternFill>
      </fill>
      <border>
        <left/>
        <right/>
        <top/>
        <bottom/>
      </border>
    </dxf>
    <dxf>
      <font>
        <color theme="0" tint="-0.24994659260841701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indexed="9"/>
      </font>
      <fill>
        <patternFill>
          <bgColor indexed="9"/>
        </patternFill>
      </fill>
    </dxf>
    <dxf>
      <font>
        <color theme="0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b val="0"/>
        <i/>
        <condense val="0"/>
        <extend val="0"/>
        <color indexed="60"/>
      </font>
    </dxf>
    <dxf>
      <font>
        <b val="0"/>
        <i/>
        <color rgb="FFC00000"/>
      </font>
    </dxf>
    <dxf>
      <font>
        <b/>
        <i val="0"/>
        <color auto="1"/>
      </font>
    </dxf>
    <dxf>
      <font>
        <b val="0"/>
        <i/>
        <color rgb="FFC00000"/>
      </font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b val="0"/>
        <i/>
        <color indexed="60"/>
      </font>
    </dxf>
    <dxf>
      <font>
        <b val="0"/>
        <i/>
        <color rgb="FFC00000"/>
      </font>
    </dxf>
    <dxf>
      <font>
        <color indexed="9"/>
      </font>
      <fill>
        <patternFill>
          <bgColor indexed="9"/>
        </patternFill>
      </fill>
    </dxf>
    <dxf>
      <font>
        <color indexed="9"/>
      </font>
      <fill>
        <patternFill>
          <bgColor indexed="9"/>
        </patternFill>
      </fill>
    </dxf>
    <dxf>
      <font>
        <color indexed="9"/>
      </font>
      <fill>
        <patternFill>
          <bgColor indexed="9"/>
        </patternFill>
      </fill>
      <border>
        <left/>
        <right/>
        <top/>
        <bottom/>
      </border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indexed="9"/>
      </font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lor theme="0"/>
      </font>
    </dxf>
    <dxf>
      <font>
        <color theme="0" tint="-0.2499465926084170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8.emf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3.emf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8.emf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4.emf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9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6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9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7.emf"/><Relationship Id="rId1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7620</xdr:rowOff>
    </xdr:from>
    <xdr:to>
      <xdr:col>4</xdr:col>
      <xdr:colOff>205740</xdr:colOff>
      <xdr:row>2</xdr:row>
      <xdr:rowOff>59055</xdr:rowOff>
    </xdr:to>
    <xdr:pic>
      <xdr:nvPicPr>
        <xdr:cNvPr id="1607" name="Picture 741" descr="logoSinapi2009">
          <a:extLst>
            <a:ext uri="{FF2B5EF4-FFF2-40B4-BE49-F238E27FC236}">
              <a16:creationId xmlns:a16="http://schemas.microsoft.com/office/drawing/2014/main" id="{16603B92-6638-1473-A5FE-EBDA16EC7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" y="7620"/>
          <a:ext cx="1676400" cy="441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571500</xdr:colOff>
          <xdr:row>71</xdr:row>
          <xdr:rowOff>152400</xdr:rowOff>
        </xdr:from>
        <xdr:to>
          <xdr:col>18</xdr:col>
          <xdr:colOff>45720</xdr:colOff>
          <xdr:row>73</xdr:row>
          <xdr:rowOff>304800</xdr:rowOff>
        </xdr:to>
        <xdr:sp macro="" textlink="">
          <xdr:nvSpPr>
            <xdr:cNvPr id="1433" name="Label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1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Para exibir mais 20 linhas, clique aqui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571500</xdr:colOff>
          <xdr:row>74</xdr:row>
          <xdr:rowOff>68580</xdr:rowOff>
        </xdr:from>
        <xdr:to>
          <xdr:col>18</xdr:col>
          <xdr:colOff>45720</xdr:colOff>
          <xdr:row>76</xdr:row>
          <xdr:rowOff>243840</xdr:rowOff>
        </xdr:to>
        <xdr:sp macro="" textlink="">
          <xdr:nvSpPr>
            <xdr:cNvPr id="1434" name="Label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1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Para ocultar as últimas 20 linhas, clique aqui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0</xdr:row>
      <xdr:rowOff>7620</xdr:rowOff>
    </xdr:from>
    <xdr:to>
      <xdr:col>3</xdr:col>
      <xdr:colOff>716280</xdr:colOff>
      <xdr:row>2</xdr:row>
      <xdr:rowOff>45720</xdr:rowOff>
    </xdr:to>
    <xdr:pic>
      <xdr:nvPicPr>
        <xdr:cNvPr id="22614" name="Picture 741" descr="logoSinapi2009">
          <a:extLst>
            <a:ext uri="{FF2B5EF4-FFF2-40B4-BE49-F238E27FC236}">
              <a16:creationId xmlns:a16="http://schemas.microsoft.com/office/drawing/2014/main" id="{CCC99BF5-A0A6-99BC-FE81-5CE715844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7620"/>
          <a:ext cx="178308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12</xdr:row>
          <xdr:rowOff>7620</xdr:rowOff>
        </xdr:from>
        <xdr:to>
          <xdr:col>12</xdr:col>
          <xdr:colOff>495300</xdr:colOff>
          <xdr:row>21</xdr:row>
          <xdr:rowOff>0</xdr:rowOff>
        </xdr:to>
        <xdr:pic>
          <xdr:nvPicPr>
            <xdr:cNvPr id="22615" name="Imagem 5">
              <a:extLst>
                <a:ext uri="{FF2B5EF4-FFF2-40B4-BE49-F238E27FC236}">
                  <a16:creationId xmlns:a16="http://schemas.microsoft.com/office/drawing/2014/main" id="{759566A9-E204-FE96-B985-A3743984033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RE!$B$186:$O$196" spid="_x0000_s22642"/>
                </a:ext>
              </a:extLst>
            </xdr:cNvPicPr>
          </xdr:nvPicPr>
          <xdr:blipFill>
            <a:blip xmlns:r="http://schemas.openxmlformats.org/officeDocument/2006/relationships" r:embed="rId2"/>
            <a:srcRect r="1117"/>
            <a:stretch>
              <a:fillRect/>
            </a:stretch>
          </xdr:blipFill>
          <xdr:spPr bwMode="auto">
            <a:xfrm>
              <a:off x="236220" y="2217420"/>
              <a:ext cx="7741920" cy="164592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87</xdr:row>
          <xdr:rowOff>0</xdr:rowOff>
        </xdr:from>
        <xdr:to>
          <xdr:col>7</xdr:col>
          <xdr:colOff>0</xdr:colOff>
          <xdr:row>92</xdr:row>
          <xdr:rowOff>182880</xdr:rowOff>
        </xdr:to>
        <xdr:pic>
          <xdr:nvPicPr>
            <xdr:cNvPr id="22616" name="Imagem 8">
              <a:extLst>
                <a:ext uri="{FF2B5EF4-FFF2-40B4-BE49-F238E27FC236}">
                  <a16:creationId xmlns:a16="http://schemas.microsoft.com/office/drawing/2014/main" id="{C14AD459-8470-BABD-9BEB-F5F1C7D030F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RE!$B$222:$G$227" spid="_x0000_s22643"/>
                </a:ext>
              </a:extLst>
            </xdr:cNvPicPr>
          </xdr:nvPicPr>
          <xdr:blipFill>
            <a:blip xmlns:r="http://schemas.openxmlformats.org/officeDocument/2006/relationships" r:embed="rId3"/>
            <a:srcRect b="5325"/>
            <a:stretch>
              <a:fillRect/>
            </a:stretch>
          </xdr:blipFill>
          <xdr:spPr bwMode="auto">
            <a:xfrm>
              <a:off x="160020" y="13152120"/>
              <a:ext cx="3657600" cy="109728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304800</xdr:colOff>
          <xdr:row>1</xdr:row>
          <xdr:rowOff>320040</xdr:rowOff>
        </xdr:from>
        <xdr:to>
          <xdr:col>12</xdr:col>
          <xdr:colOff>731520</xdr:colOff>
          <xdr:row>12</xdr:row>
          <xdr:rowOff>0</xdr:rowOff>
        </xdr:to>
        <xdr:pic>
          <xdr:nvPicPr>
            <xdr:cNvPr id="22617" name="Imagem 10">
              <a:extLst>
                <a:ext uri="{FF2B5EF4-FFF2-40B4-BE49-F238E27FC236}">
                  <a16:creationId xmlns:a16="http://schemas.microsoft.com/office/drawing/2014/main" id="{8D5D04F3-96B5-15EE-FC27-F80609A14AD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RE!$B$6:$O$19" spid="_x0000_s22644"/>
                </a:ext>
              </a:extLst>
            </xdr:cNvPicPr>
          </xdr:nvPicPr>
          <xdr:blipFill>
            <a:blip xmlns:r="http://schemas.openxmlformats.org/officeDocument/2006/relationships" r:embed="rId4"/>
            <a:srcRect r="1215"/>
            <a:stretch>
              <a:fillRect/>
            </a:stretch>
          </xdr:blipFill>
          <xdr:spPr bwMode="auto">
            <a:xfrm>
              <a:off x="160020" y="381000"/>
              <a:ext cx="7940040" cy="18288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7620</xdr:rowOff>
    </xdr:from>
    <xdr:to>
      <xdr:col>3</xdr:col>
      <xdr:colOff>708660</xdr:colOff>
      <xdr:row>2</xdr:row>
      <xdr:rowOff>137160</xdr:rowOff>
    </xdr:to>
    <xdr:pic>
      <xdr:nvPicPr>
        <xdr:cNvPr id="19057" name="Picture 741" descr="logoSinapi2009">
          <a:extLst>
            <a:ext uri="{FF2B5EF4-FFF2-40B4-BE49-F238E27FC236}">
              <a16:creationId xmlns:a16="http://schemas.microsoft.com/office/drawing/2014/main" id="{9AA18C12-FBE2-2476-4312-62B4751D3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7620"/>
          <a:ext cx="185928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434</xdr:row>
          <xdr:rowOff>0</xdr:rowOff>
        </xdr:from>
        <xdr:to>
          <xdr:col>7</xdr:col>
          <xdr:colOff>281940</xdr:colOff>
          <xdr:row>440</xdr:row>
          <xdr:rowOff>190500</xdr:rowOff>
        </xdr:to>
        <xdr:pic>
          <xdr:nvPicPr>
            <xdr:cNvPr id="19058" name="Imagem 5">
              <a:extLst>
                <a:ext uri="{FF2B5EF4-FFF2-40B4-BE49-F238E27FC236}">
                  <a16:creationId xmlns:a16="http://schemas.microsoft.com/office/drawing/2014/main" id="{79976DDF-6B7C-225D-6A00-6DFFEF39F0F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RE!$B$222:$G$227" spid="_x0000_s19076"/>
                </a:ext>
              </a:extLst>
            </xdr:cNvPicPr>
          </xdr:nvPicPr>
          <xdr:blipFill>
            <a:blip xmlns:r="http://schemas.openxmlformats.org/officeDocument/2006/relationships" r:embed="rId2"/>
            <a:srcRect b="5220"/>
            <a:stretch>
              <a:fillRect/>
            </a:stretch>
          </xdr:blipFill>
          <xdr:spPr bwMode="auto">
            <a:xfrm>
              <a:off x="83820" y="56532780"/>
              <a:ext cx="4023360" cy="97536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53340</xdr:colOff>
          <xdr:row>3</xdr:row>
          <xdr:rowOff>205740</xdr:rowOff>
        </xdr:from>
        <xdr:to>
          <xdr:col>12</xdr:col>
          <xdr:colOff>1859280</xdr:colOff>
          <xdr:row>16</xdr:row>
          <xdr:rowOff>45720</xdr:rowOff>
        </xdr:to>
        <xdr:pic>
          <xdr:nvPicPr>
            <xdr:cNvPr id="19059" name="Imagem 10">
              <a:extLst>
                <a:ext uri="{FF2B5EF4-FFF2-40B4-BE49-F238E27FC236}">
                  <a16:creationId xmlns:a16="http://schemas.microsoft.com/office/drawing/2014/main" id="{71D9FD13-543D-DA5E-4472-0226F2B0614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RE!$B$6:$O$19" spid="_x0000_s19077"/>
                </a:ext>
              </a:extLst>
            </xdr:cNvPicPr>
          </xdr:nvPicPr>
          <xdr:blipFill>
            <a:blip xmlns:r="http://schemas.openxmlformats.org/officeDocument/2006/relationships" r:embed="rId3"/>
            <a:srcRect r="1215"/>
            <a:stretch>
              <a:fillRect/>
            </a:stretch>
          </xdr:blipFill>
          <xdr:spPr bwMode="auto">
            <a:xfrm>
              <a:off x="129540" y="563880"/>
              <a:ext cx="7825740" cy="169164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7620</xdr:rowOff>
    </xdr:from>
    <xdr:to>
      <xdr:col>3</xdr:col>
      <xdr:colOff>708660</xdr:colOff>
      <xdr:row>2</xdr:row>
      <xdr:rowOff>137160</xdr:rowOff>
    </xdr:to>
    <xdr:pic>
      <xdr:nvPicPr>
        <xdr:cNvPr id="21792" name="Picture 741" descr="logoSinapi2009">
          <a:extLst>
            <a:ext uri="{FF2B5EF4-FFF2-40B4-BE49-F238E27FC236}">
              <a16:creationId xmlns:a16="http://schemas.microsoft.com/office/drawing/2014/main" id="{74C23021-7BAD-6174-050D-8B071FF69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7620"/>
          <a:ext cx="185928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95</xdr:row>
          <xdr:rowOff>0</xdr:rowOff>
        </xdr:from>
        <xdr:to>
          <xdr:col>7</xdr:col>
          <xdr:colOff>281940</xdr:colOff>
          <xdr:row>101</xdr:row>
          <xdr:rowOff>190500</xdr:rowOff>
        </xdr:to>
        <xdr:pic>
          <xdr:nvPicPr>
            <xdr:cNvPr id="21793" name="Imagem 5">
              <a:extLst>
                <a:ext uri="{FF2B5EF4-FFF2-40B4-BE49-F238E27FC236}">
                  <a16:creationId xmlns:a16="http://schemas.microsoft.com/office/drawing/2014/main" id="{9D79DFCB-F6C7-EE4A-9AE6-3096C2BB159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RE!$B$222:$G$227" spid="_x0000_s21811"/>
                </a:ext>
              </a:extLst>
            </xdr:cNvPicPr>
          </xdr:nvPicPr>
          <xdr:blipFill>
            <a:blip xmlns:r="http://schemas.openxmlformats.org/officeDocument/2006/relationships" r:embed="rId2"/>
            <a:srcRect b="3847"/>
            <a:stretch>
              <a:fillRect/>
            </a:stretch>
          </xdr:blipFill>
          <xdr:spPr bwMode="auto">
            <a:xfrm>
              <a:off x="76200" y="12542520"/>
              <a:ext cx="4030980" cy="97536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53340</xdr:colOff>
          <xdr:row>3</xdr:row>
          <xdr:rowOff>228600</xdr:rowOff>
        </xdr:from>
        <xdr:to>
          <xdr:col>13</xdr:col>
          <xdr:colOff>7620</xdr:colOff>
          <xdr:row>16</xdr:row>
          <xdr:rowOff>45720</xdr:rowOff>
        </xdr:to>
        <xdr:pic>
          <xdr:nvPicPr>
            <xdr:cNvPr id="21794" name="Imagem 10">
              <a:extLst>
                <a:ext uri="{FF2B5EF4-FFF2-40B4-BE49-F238E27FC236}">
                  <a16:creationId xmlns:a16="http://schemas.microsoft.com/office/drawing/2014/main" id="{0CFFF076-7774-F63E-2589-04E559B50DD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RE!$B$6:$O$19" spid="_x0000_s21812"/>
                </a:ext>
              </a:extLst>
            </xdr:cNvPicPr>
          </xdr:nvPicPr>
          <xdr:blipFill>
            <a:blip xmlns:r="http://schemas.openxmlformats.org/officeDocument/2006/relationships" r:embed="rId3"/>
            <a:srcRect r="1215"/>
            <a:stretch>
              <a:fillRect/>
            </a:stretch>
          </xdr:blipFill>
          <xdr:spPr bwMode="auto">
            <a:xfrm>
              <a:off x="129540" y="579120"/>
              <a:ext cx="7780020" cy="16002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7620</xdr:rowOff>
    </xdr:from>
    <xdr:to>
      <xdr:col>3</xdr:col>
      <xdr:colOff>708660</xdr:colOff>
      <xdr:row>2</xdr:row>
      <xdr:rowOff>137160</xdr:rowOff>
    </xdr:to>
    <xdr:pic>
      <xdr:nvPicPr>
        <xdr:cNvPr id="19957" name="Picture 741" descr="logoSinapi2009">
          <a:extLst>
            <a:ext uri="{FF2B5EF4-FFF2-40B4-BE49-F238E27FC236}">
              <a16:creationId xmlns:a16="http://schemas.microsoft.com/office/drawing/2014/main" id="{8080B790-8CE4-B6B0-EA27-0BF775023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7620"/>
          <a:ext cx="185928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359</xdr:row>
          <xdr:rowOff>281940</xdr:rowOff>
        </xdr:from>
        <xdr:to>
          <xdr:col>7</xdr:col>
          <xdr:colOff>281940</xdr:colOff>
          <xdr:row>366</xdr:row>
          <xdr:rowOff>190500</xdr:rowOff>
        </xdr:to>
        <xdr:pic>
          <xdr:nvPicPr>
            <xdr:cNvPr id="19958" name="Imagem 5">
              <a:extLst>
                <a:ext uri="{FF2B5EF4-FFF2-40B4-BE49-F238E27FC236}">
                  <a16:creationId xmlns:a16="http://schemas.microsoft.com/office/drawing/2014/main" id="{A1F12DEE-0585-6D76-A7F3-90F40C12D50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RE!$B$222:$G$227" spid="_x0000_s19976"/>
                </a:ext>
              </a:extLst>
            </xdr:cNvPicPr>
          </xdr:nvPicPr>
          <xdr:blipFill>
            <a:blip xmlns:r="http://schemas.openxmlformats.org/officeDocument/2006/relationships" r:embed="rId2"/>
            <a:srcRect t="-2" b="4532"/>
            <a:stretch>
              <a:fillRect/>
            </a:stretch>
          </xdr:blipFill>
          <xdr:spPr bwMode="auto">
            <a:xfrm>
              <a:off x="76200" y="46870620"/>
              <a:ext cx="4030980" cy="97536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</xdr:colOff>
          <xdr:row>3</xdr:row>
          <xdr:rowOff>152400</xdr:rowOff>
        </xdr:from>
        <xdr:to>
          <xdr:col>13</xdr:col>
          <xdr:colOff>0</xdr:colOff>
          <xdr:row>15</xdr:row>
          <xdr:rowOff>236220</xdr:rowOff>
        </xdr:to>
        <xdr:pic>
          <xdr:nvPicPr>
            <xdr:cNvPr id="19959" name="Imagem 10">
              <a:extLst>
                <a:ext uri="{FF2B5EF4-FFF2-40B4-BE49-F238E27FC236}">
                  <a16:creationId xmlns:a16="http://schemas.microsoft.com/office/drawing/2014/main" id="{D5589A4B-4CC1-4967-38D6-FE5C767D454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RE!$B$6:$O$19" spid="_x0000_s19977"/>
                </a:ext>
              </a:extLst>
            </xdr:cNvPicPr>
          </xdr:nvPicPr>
          <xdr:blipFill>
            <a:blip xmlns:r="http://schemas.openxmlformats.org/officeDocument/2006/relationships" r:embed="rId3"/>
            <a:srcRect r="1215"/>
            <a:stretch>
              <a:fillRect/>
            </a:stretch>
          </xdr:blipFill>
          <xdr:spPr bwMode="auto">
            <a:xfrm>
              <a:off x="91440" y="579120"/>
              <a:ext cx="7810500" cy="155448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7620</xdr:rowOff>
    </xdr:from>
    <xdr:to>
      <xdr:col>3</xdr:col>
      <xdr:colOff>708660</xdr:colOff>
      <xdr:row>3</xdr:row>
      <xdr:rowOff>0</xdr:rowOff>
    </xdr:to>
    <xdr:pic>
      <xdr:nvPicPr>
        <xdr:cNvPr id="20982" name="Picture 741" descr="logoSinapi2009">
          <a:extLst>
            <a:ext uri="{FF2B5EF4-FFF2-40B4-BE49-F238E27FC236}">
              <a16:creationId xmlns:a16="http://schemas.microsoft.com/office/drawing/2014/main" id="{8E434778-CEE5-0EEF-7C5E-58AC2D4F9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7620"/>
          <a:ext cx="1859280" cy="441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81</xdr:row>
          <xdr:rowOff>0</xdr:rowOff>
        </xdr:from>
        <xdr:to>
          <xdr:col>12</xdr:col>
          <xdr:colOff>533400</xdr:colOff>
          <xdr:row>88</xdr:row>
          <xdr:rowOff>99060</xdr:rowOff>
        </xdr:to>
        <xdr:pic>
          <xdr:nvPicPr>
            <xdr:cNvPr id="20983" name="Imagem 10">
              <a:extLst>
                <a:ext uri="{FF2B5EF4-FFF2-40B4-BE49-F238E27FC236}">
                  <a16:creationId xmlns:a16="http://schemas.microsoft.com/office/drawing/2014/main" id="{4EB0CA6B-7D75-4517-31B0-7A15605C488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Orç_sintético_Hab!$B$88:$M$93" spid="_x0000_s21001"/>
                </a:ext>
              </a:extLst>
            </xdr:cNvPicPr>
          </xdr:nvPicPr>
          <xdr:blipFill>
            <a:blip xmlns:r="http://schemas.openxmlformats.org/officeDocument/2006/relationships" r:embed="rId2"/>
            <a:srcRect r="697" b="4051"/>
            <a:stretch>
              <a:fillRect/>
            </a:stretch>
          </xdr:blipFill>
          <xdr:spPr bwMode="auto">
            <a:xfrm>
              <a:off x="76200" y="12976860"/>
              <a:ext cx="8016240" cy="116586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</xdr:colOff>
          <xdr:row>3</xdr:row>
          <xdr:rowOff>137160</xdr:rowOff>
        </xdr:from>
        <xdr:to>
          <xdr:col>12</xdr:col>
          <xdr:colOff>556260</xdr:colOff>
          <xdr:row>15</xdr:row>
          <xdr:rowOff>99060</xdr:rowOff>
        </xdr:to>
        <xdr:pic>
          <xdr:nvPicPr>
            <xdr:cNvPr id="20984" name="Imagem 10">
              <a:extLst>
                <a:ext uri="{FF2B5EF4-FFF2-40B4-BE49-F238E27FC236}">
                  <a16:creationId xmlns:a16="http://schemas.microsoft.com/office/drawing/2014/main" id="{34651D77-7F55-A799-A05A-49B83E3581C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RE!$B$6:$O$19" spid="_x0000_s21002"/>
                </a:ext>
              </a:extLst>
            </xdr:cNvPicPr>
          </xdr:nvPicPr>
          <xdr:blipFill>
            <a:blip xmlns:r="http://schemas.openxmlformats.org/officeDocument/2006/relationships" r:embed="rId3"/>
            <a:srcRect r="1215"/>
            <a:stretch>
              <a:fillRect/>
            </a:stretch>
          </xdr:blipFill>
          <xdr:spPr bwMode="auto">
            <a:xfrm>
              <a:off x="91440" y="586740"/>
              <a:ext cx="8001000" cy="17907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oaovitorcabral94@gmail.com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5532-9C86-4B7B-A82C-403699DD9580}">
  <sheetPr codeName="Plan1"/>
  <dimension ref="B2:B31"/>
  <sheetViews>
    <sheetView showGridLines="0" view="pageBreakPreview" topLeftCell="B1" zoomScaleNormal="100" zoomScaleSheetLayoutView="100" workbookViewId="0">
      <selection activeCell="B27" sqref="B27"/>
    </sheetView>
  </sheetViews>
  <sheetFormatPr defaultColWidth="9.109375" defaultRowHeight="14.4" x14ac:dyDescent="0.3"/>
  <cols>
    <col min="1" max="1" width="9.109375" style="126"/>
    <col min="2" max="2" width="110.5546875" style="126" customWidth="1"/>
    <col min="3" max="16384" width="9.109375" style="126"/>
  </cols>
  <sheetData>
    <row r="2" spans="2:2" x14ac:dyDescent="0.3">
      <c r="B2" s="125" t="s">
        <v>821</v>
      </c>
    </row>
    <row r="4" spans="2:2" ht="28.8" x14ac:dyDescent="0.3">
      <c r="B4" s="126" t="s">
        <v>823</v>
      </c>
    </row>
    <row r="5" spans="2:2" x14ac:dyDescent="0.3">
      <c r="B5" s="126" t="s">
        <v>822</v>
      </c>
    </row>
    <row r="6" spans="2:2" x14ac:dyDescent="0.3">
      <c r="B6" s="126" t="s">
        <v>824</v>
      </c>
    </row>
    <row r="8" spans="2:2" x14ac:dyDescent="0.3">
      <c r="B8" s="125" t="s">
        <v>830</v>
      </c>
    </row>
    <row r="10" spans="2:2" ht="28.8" x14ac:dyDescent="0.3">
      <c r="B10" s="126" t="s">
        <v>827</v>
      </c>
    </row>
    <row r="11" spans="2:2" ht="28.8" x14ac:dyDescent="0.3">
      <c r="B11" s="126" t="s">
        <v>831</v>
      </c>
    </row>
    <row r="12" spans="2:2" ht="43.2" x14ac:dyDescent="0.3">
      <c r="B12" s="126" t="s">
        <v>832</v>
      </c>
    </row>
    <row r="13" spans="2:2" ht="28.8" x14ac:dyDescent="0.3">
      <c r="B13" s="126" t="s">
        <v>828</v>
      </c>
    </row>
    <row r="14" spans="2:2" x14ac:dyDescent="0.3">
      <c r="B14" s="126" t="s">
        <v>825</v>
      </c>
    </row>
    <row r="15" spans="2:2" x14ac:dyDescent="0.3">
      <c r="B15" s="126" t="s">
        <v>826</v>
      </c>
    </row>
    <row r="16" spans="2:2" x14ac:dyDescent="0.3">
      <c r="B16" s="126" t="s">
        <v>829</v>
      </c>
    </row>
    <row r="18" spans="2:2" x14ac:dyDescent="0.3">
      <c r="B18" s="125" t="s">
        <v>734</v>
      </c>
    </row>
    <row r="20" spans="2:2" ht="43.2" x14ac:dyDescent="0.3">
      <c r="B20" s="126" t="s">
        <v>738</v>
      </c>
    </row>
    <row r="22" spans="2:2" x14ac:dyDescent="0.3">
      <c r="B22" s="126" t="s">
        <v>737</v>
      </c>
    </row>
    <row r="24" spans="2:2" x14ac:dyDescent="0.3">
      <c r="B24" s="126" t="s">
        <v>735</v>
      </c>
    </row>
    <row r="25" spans="2:2" ht="28.8" x14ac:dyDescent="0.3">
      <c r="B25" s="126" t="s">
        <v>736</v>
      </c>
    </row>
    <row r="27" spans="2:2" ht="28.8" x14ac:dyDescent="0.3">
      <c r="B27" s="126" t="s">
        <v>739</v>
      </c>
    </row>
    <row r="28" spans="2:2" ht="28.8" x14ac:dyDescent="0.3">
      <c r="B28" s="126" t="s">
        <v>741</v>
      </c>
    </row>
    <row r="29" spans="2:2" ht="28.8" x14ac:dyDescent="0.3">
      <c r="B29" s="126" t="s">
        <v>740</v>
      </c>
    </row>
    <row r="31" spans="2:2" ht="43.2" x14ac:dyDescent="0.3">
      <c r="B31" s="126" t="s">
        <v>742</v>
      </c>
    </row>
  </sheetData>
  <sheetProtection sheet="1"/>
  <phoneticPr fontId="25" type="noConversion"/>
  <pageMargins left="0.78740157499999996" right="0.78740157499999996" top="0.984251969" bottom="0.984251969" header="0.49212598499999999" footer="0.49212598499999999"/>
  <pageSetup paperSize="9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509E-1339-41A8-814B-05EEF0D081CB}">
  <sheetPr codeName="Plan2">
    <tabColor theme="9" tint="0.79998168889431442"/>
  </sheetPr>
  <dimension ref="A1:S227"/>
  <sheetViews>
    <sheetView showGridLines="0" tabSelected="1" view="pageBreakPreview" topLeftCell="A73" zoomScaleNormal="100" zoomScaleSheetLayoutView="100" workbookViewId="0">
      <selection activeCell="N4" sqref="N4"/>
    </sheetView>
  </sheetViews>
  <sheetFormatPr defaultColWidth="9.33203125" defaultRowHeight="14.4" x14ac:dyDescent="0.3"/>
  <cols>
    <col min="1" max="1" width="6.5546875" customWidth="1"/>
    <col min="2" max="2" width="4.6640625" customWidth="1"/>
    <col min="3" max="3" width="7.6640625" customWidth="1"/>
    <col min="5" max="5" width="14.109375" customWidth="1"/>
    <col min="6" max="6" width="9.44140625" customWidth="1"/>
    <col min="7" max="7" width="11.44140625" bestFit="1" customWidth="1"/>
    <col min="8" max="8" width="11" customWidth="1"/>
    <col min="11" max="12" width="9.88671875" customWidth="1"/>
    <col min="13" max="13" width="12.6640625" customWidth="1"/>
    <col min="14" max="14" width="16.44140625" customWidth="1"/>
    <col min="15" max="15" width="12.6640625" customWidth="1"/>
    <col min="16" max="16" width="6.5546875" customWidth="1"/>
    <col min="19" max="19" width="12.44140625" bestFit="1" customWidth="1"/>
  </cols>
  <sheetData>
    <row r="1" spans="1:16" x14ac:dyDescent="0.3">
      <c r="A1" s="232" t="s">
        <v>60</v>
      </c>
      <c r="N1" s="242" t="s">
        <v>857</v>
      </c>
      <c r="O1" s="243"/>
      <c r="P1" s="10"/>
    </row>
    <row r="2" spans="1:16" ht="15.6" x14ac:dyDescent="0.3">
      <c r="A2" s="232" t="s">
        <v>0</v>
      </c>
      <c r="F2" s="144" t="s">
        <v>69</v>
      </c>
      <c r="N2" s="244" t="s">
        <v>858</v>
      </c>
      <c r="O2" s="245"/>
    </row>
    <row r="3" spans="1:16" x14ac:dyDescent="0.3">
      <c r="A3" s="232" t="s">
        <v>749</v>
      </c>
    </row>
    <row r="4" spans="1:16" s="113" customFormat="1" ht="24.9" customHeight="1" x14ac:dyDescent="0.25">
      <c r="A4" s="232" t="s">
        <v>2</v>
      </c>
      <c r="B4" s="121"/>
      <c r="C4" s="234"/>
      <c r="D4" s="104" t="s">
        <v>1</v>
      </c>
      <c r="E4" s="315" t="s">
        <v>0</v>
      </c>
      <c r="F4" s="315"/>
      <c r="G4" s="315"/>
      <c r="H4" s="315"/>
      <c r="I4" s="315"/>
      <c r="J4" s="315"/>
      <c r="K4" s="122"/>
      <c r="L4" s="122"/>
      <c r="M4" s="122"/>
      <c r="N4" s="122"/>
      <c r="O4" s="123"/>
      <c r="P4" s="175"/>
    </row>
    <row r="5" spans="1:16" ht="5.0999999999999996" customHeight="1" x14ac:dyDescent="0.3">
      <c r="A5" s="233" t="s">
        <v>61</v>
      </c>
    </row>
    <row r="6" spans="1:16" ht="15" customHeight="1" x14ac:dyDescent="0.3">
      <c r="A6" s="232" t="s">
        <v>848</v>
      </c>
      <c r="B6" s="5" t="s">
        <v>3</v>
      </c>
      <c r="C6" s="1"/>
      <c r="D6" s="1"/>
      <c r="E6" s="203"/>
      <c r="F6" s="1"/>
      <c r="G6" s="1"/>
      <c r="H6" s="1"/>
      <c r="I6" s="1"/>
      <c r="J6" s="1"/>
      <c r="K6" s="1"/>
      <c r="L6" s="1"/>
      <c r="M6" s="1"/>
      <c r="N6" s="1"/>
    </row>
    <row r="7" spans="1:16" x14ac:dyDescent="0.3">
      <c r="A7" s="232" t="s">
        <v>851</v>
      </c>
      <c r="B7" s="261" t="s">
        <v>876</v>
      </c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</row>
    <row r="8" spans="1:16" ht="5.0999999999999996" customHeight="1" x14ac:dyDescent="0.3">
      <c r="A8" s="232" t="s">
        <v>850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</row>
    <row r="9" spans="1:16" x14ac:dyDescent="0.3">
      <c r="A9" s="232" t="s">
        <v>849</v>
      </c>
      <c r="B9" s="204" t="s">
        <v>835</v>
      </c>
      <c r="C9" s="25"/>
      <c r="D9" s="25"/>
      <c r="E9" s="25"/>
      <c r="F9" s="25"/>
      <c r="G9" s="25"/>
      <c r="H9" s="25"/>
      <c r="I9" s="25"/>
      <c r="J9" s="25"/>
      <c r="K9" s="25"/>
      <c r="L9" s="205"/>
      <c r="M9" s="1" t="s">
        <v>4</v>
      </c>
      <c r="N9" s="1"/>
      <c r="O9" s="206"/>
    </row>
    <row r="10" spans="1:16" x14ac:dyDescent="0.3">
      <c r="A10" s="232"/>
      <c r="B10" s="261" t="s">
        <v>877</v>
      </c>
      <c r="C10" s="262"/>
      <c r="D10" s="262"/>
      <c r="E10" s="262"/>
      <c r="F10" s="262"/>
      <c r="G10" s="262"/>
      <c r="H10" s="262"/>
      <c r="I10" s="262"/>
      <c r="J10" s="262"/>
      <c r="K10" s="262"/>
      <c r="L10" s="283"/>
      <c r="M10" s="278" t="s">
        <v>878</v>
      </c>
      <c r="N10" s="279"/>
      <c r="O10" s="282"/>
    </row>
    <row r="11" spans="1:16" ht="5.0999999999999996" customHeight="1" x14ac:dyDescent="0.3">
      <c r="A11" s="231"/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45"/>
      <c r="M11" s="145"/>
      <c r="N11" s="145"/>
    </row>
    <row r="12" spans="1:16" x14ac:dyDescent="0.3">
      <c r="A12" s="231"/>
      <c r="B12" s="204" t="s">
        <v>5</v>
      </c>
      <c r="C12" s="25"/>
      <c r="D12" s="25"/>
      <c r="E12" s="25"/>
      <c r="F12" s="25"/>
      <c r="I12" s="204" t="s">
        <v>6</v>
      </c>
      <c r="J12" s="25"/>
      <c r="K12" s="25"/>
      <c r="L12" s="205"/>
      <c r="M12" s="1" t="s">
        <v>7</v>
      </c>
      <c r="N12" s="5" t="s">
        <v>8</v>
      </c>
      <c r="O12" s="206"/>
    </row>
    <row r="13" spans="1:16" x14ac:dyDescent="0.3">
      <c r="B13" s="261" t="s">
        <v>879</v>
      </c>
      <c r="C13" s="262"/>
      <c r="D13" s="262"/>
      <c r="E13" s="262"/>
      <c r="F13" s="262"/>
      <c r="G13" s="262"/>
      <c r="H13" s="283"/>
      <c r="I13" s="278" t="s">
        <v>880</v>
      </c>
      <c r="J13" s="279"/>
      <c r="K13" s="279"/>
      <c r="L13" s="282"/>
      <c r="M13" s="208" t="s">
        <v>859</v>
      </c>
      <c r="N13" s="278" t="s">
        <v>881</v>
      </c>
      <c r="O13" s="282"/>
    </row>
    <row r="14" spans="1:16" ht="5.0999999999999996" customHeight="1" x14ac:dyDescent="0.3"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45"/>
      <c r="M14" s="145"/>
      <c r="N14" s="145"/>
    </row>
    <row r="15" spans="1:16" x14ac:dyDescent="0.3">
      <c r="B15" s="204" t="s">
        <v>836</v>
      </c>
      <c r="C15" s="25"/>
      <c r="D15" s="25"/>
      <c r="E15" s="25"/>
      <c r="F15" s="25"/>
      <c r="G15" s="25"/>
      <c r="H15" s="25"/>
      <c r="I15" s="25"/>
      <c r="J15" s="25"/>
      <c r="K15" s="25"/>
      <c r="M15" s="5" t="s">
        <v>9</v>
      </c>
      <c r="N15" s="1"/>
      <c r="O15" s="206"/>
    </row>
    <row r="16" spans="1:16" x14ac:dyDescent="0.3">
      <c r="B16" s="275" t="s">
        <v>882</v>
      </c>
      <c r="C16" s="276"/>
      <c r="D16" s="276"/>
      <c r="E16" s="276"/>
      <c r="F16" s="276"/>
      <c r="G16" s="276"/>
      <c r="H16" s="276"/>
      <c r="I16" s="276"/>
      <c r="J16" s="276"/>
      <c r="K16" s="276"/>
      <c r="L16" s="277"/>
      <c r="M16" s="278" t="s">
        <v>900</v>
      </c>
      <c r="N16" s="279"/>
      <c r="O16" s="279"/>
    </row>
    <row r="17" spans="2:15" ht="5.0999999999999996" customHeight="1" x14ac:dyDescent="0.3"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45"/>
      <c r="M17" s="145"/>
      <c r="N17" s="145"/>
    </row>
    <row r="18" spans="2:15" x14ac:dyDescent="0.3">
      <c r="B18" s="204" t="s">
        <v>10</v>
      </c>
      <c r="C18" s="25"/>
      <c r="D18" s="25"/>
      <c r="E18" s="25"/>
      <c r="F18" s="25"/>
      <c r="G18" s="25"/>
      <c r="H18" s="25"/>
      <c r="I18" s="25"/>
      <c r="J18" s="25"/>
      <c r="K18" s="25"/>
      <c r="M18" s="5" t="s">
        <v>9</v>
      </c>
      <c r="N18" s="1"/>
      <c r="O18" s="206"/>
    </row>
    <row r="19" spans="2:15" x14ac:dyDescent="0.3">
      <c r="B19" s="265" t="s">
        <v>883</v>
      </c>
      <c r="C19" s="266"/>
      <c r="D19" s="266"/>
      <c r="E19" s="266"/>
      <c r="F19" s="266"/>
      <c r="G19" s="266"/>
      <c r="H19" s="266"/>
      <c r="I19" s="266"/>
      <c r="J19" s="266"/>
      <c r="K19" s="266"/>
      <c r="L19" s="267"/>
      <c r="M19" s="278" t="s">
        <v>884</v>
      </c>
      <c r="N19" s="279"/>
      <c r="O19" s="279"/>
    </row>
    <row r="20" spans="2:15" ht="5.0999999999999996" customHeight="1" x14ac:dyDescent="0.3"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45"/>
      <c r="M20" s="145"/>
      <c r="N20" s="145"/>
    </row>
    <row r="21" spans="2:15" x14ac:dyDescent="0.3">
      <c r="B21" s="204" t="s">
        <v>11</v>
      </c>
      <c r="C21" s="25"/>
      <c r="D21" s="25"/>
      <c r="E21" s="25"/>
      <c r="F21" s="25"/>
      <c r="G21" s="25"/>
      <c r="H21" s="25"/>
      <c r="J21" s="204" t="s">
        <v>837</v>
      </c>
      <c r="K21" s="25"/>
      <c r="L21" s="205"/>
      <c r="M21" s="5" t="s">
        <v>12</v>
      </c>
      <c r="N21" s="1"/>
      <c r="O21" s="206"/>
    </row>
    <row r="22" spans="2:15" x14ac:dyDescent="0.3">
      <c r="B22" s="265" t="s">
        <v>885</v>
      </c>
      <c r="C22" s="266"/>
      <c r="D22" s="266"/>
      <c r="E22" s="266"/>
      <c r="F22" s="266"/>
      <c r="G22" s="266"/>
      <c r="H22" s="266"/>
      <c r="I22" s="267"/>
      <c r="J22" s="268" t="s">
        <v>887</v>
      </c>
      <c r="K22" s="269"/>
      <c r="L22" s="270"/>
      <c r="M22" s="271" t="s">
        <v>886</v>
      </c>
      <c r="N22" s="272"/>
      <c r="O22" s="273"/>
    </row>
    <row r="23" spans="2:15" ht="5.0999999999999996" customHeight="1" x14ac:dyDescent="0.3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45"/>
      <c r="M23" s="145"/>
      <c r="N23" s="145"/>
    </row>
    <row r="24" spans="2:15" x14ac:dyDescent="0.3">
      <c r="B24" s="204" t="s">
        <v>838</v>
      </c>
      <c r="C24" s="25"/>
      <c r="D24" s="25"/>
      <c r="E24" s="25"/>
      <c r="F24" s="25"/>
      <c r="G24" s="25"/>
      <c r="H24" s="25"/>
      <c r="I24" s="25"/>
      <c r="J24" s="25"/>
      <c r="K24" s="25"/>
      <c r="M24" s="5" t="s">
        <v>12</v>
      </c>
      <c r="N24" s="1"/>
      <c r="O24" s="206"/>
    </row>
    <row r="25" spans="2:15" x14ac:dyDescent="0.3">
      <c r="B25" s="275" t="s">
        <v>888</v>
      </c>
      <c r="C25" s="276"/>
      <c r="D25" s="276"/>
      <c r="E25" s="276"/>
      <c r="F25" s="276"/>
      <c r="G25" s="276"/>
      <c r="H25" s="276"/>
      <c r="I25" s="276"/>
      <c r="J25" s="276"/>
      <c r="K25" s="276"/>
      <c r="L25" s="277"/>
      <c r="M25" s="278" t="s">
        <v>889</v>
      </c>
      <c r="N25" s="279"/>
      <c r="O25" s="279"/>
    </row>
    <row r="26" spans="2:15" ht="5.0999999999999996" customHeight="1" x14ac:dyDescent="0.3"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45"/>
      <c r="M26" s="145"/>
      <c r="N26" s="145"/>
    </row>
    <row r="27" spans="2:15" ht="15" customHeight="1" x14ac:dyDescent="0.3">
      <c r="B27" s="5" t="s">
        <v>13</v>
      </c>
      <c r="C27" s="1"/>
      <c r="D27" s="1"/>
      <c r="E27" s="1"/>
      <c r="F27" s="1"/>
      <c r="G27" s="1"/>
      <c r="H27" s="1"/>
      <c r="J27" s="5" t="s">
        <v>14</v>
      </c>
      <c r="K27" s="1"/>
      <c r="L27" s="206"/>
      <c r="M27" s="5" t="s">
        <v>839</v>
      </c>
      <c r="N27" s="1"/>
      <c r="O27" s="206"/>
    </row>
    <row r="28" spans="2:15" ht="15" customHeight="1" x14ac:dyDescent="0.3">
      <c r="B28" s="265" t="s">
        <v>885</v>
      </c>
      <c r="C28" s="266"/>
      <c r="D28" s="266"/>
      <c r="E28" s="266"/>
      <c r="F28" s="266"/>
      <c r="G28" s="266"/>
      <c r="H28" s="266"/>
      <c r="I28" s="267"/>
      <c r="J28" s="319" t="s">
        <v>890</v>
      </c>
      <c r="K28" s="320"/>
      <c r="L28" s="321"/>
      <c r="M28" s="285" t="s">
        <v>891</v>
      </c>
      <c r="N28" s="286"/>
      <c r="O28" s="287"/>
    </row>
    <row r="29" spans="2:15" x14ac:dyDescent="0.3"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</row>
    <row r="30" spans="2:15" x14ac:dyDescent="0.3">
      <c r="B30" s="145"/>
      <c r="C30" s="145"/>
      <c r="D30" s="145"/>
      <c r="E30" s="4" t="s">
        <v>840</v>
      </c>
      <c r="F30" s="209" t="s">
        <v>860</v>
      </c>
      <c r="G30" s="145"/>
      <c r="H30" s="145"/>
      <c r="I30" s="207" t="s">
        <v>841</v>
      </c>
      <c r="J30" s="288"/>
      <c r="K30" s="288"/>
      <c r="L30" s="212"/>
      <c r="M30" s="212"/>
      <c r="N30" s="212"/>
    </row>
    <row r="31" spans="2:15" ht="5.0999999999999996" customHeight="1" x14ac:dyDescent="0.3"/>
    <row r="32" spans="2:15" hidden="1" x14ac:dyDescent="0.3"/>
    <row r="33" spans="1:16" ht="5.0999999999999996" customHeight="1" x14ac:dyDescent="0.3"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</row>
    <row r="34" spans="1:16" x14ac:dyDescent="0.3">
      <c r="B34" s="145"/>
      <c r="C34" s="145"/>
      <c r="D34" s="145"/>
      <c r="E34" s="4" t="s">
        <v>17</v>
      </c>
      <c r="F34" s="316" t="s">
        <v>861</v>
      </c>
      <c r="G34" s="316"/>
      <c r="H34" s="219"/>
      <c r="I34" s="145"/>
      <c r="J34" s="145"/>
      <c r="K34" s="145"/>
      <c r="L34" s="145"/>
      <c r="M34" s="145"/>
      <c r="N34" s="145"/>
      <c r="O34" s="145"/>
      <c r="P34" s="145"/>
    </row>
    <row r="35" spans="1:16" ht="5.0999999999999996" customHeight="1" x14ac:dyDescent="0.3"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</row>
    <row r="36" spans="1:16" x14ac:dyDescent="0.3">
      <c r="B36" s="145"/>
      <c r="C36" s="145"/>
      <c r="D36" s="147" t="s">
        <v>18</v>
      </c>
      <c r="E36" s="148" t="s">
        <v>897</v>
      </c>
      <c r="F36" s="1" t="s">
        <v>19</v>
      </c>
      <c r="G36" s="145"/>
      <c r="H36" s="145"/>
      <c r="I36" s="239" t="s">
        <v>853</v>
      </c>
      <c r="J36" s="148"/>
      <c r="K36" s="1" t="s">
        <v>19</v>
      </c>
      <c r="M36" s="147" t="s">
        <v>843</v>
      </c>
      <c r="N36" s="148"/>
      <c r="O36" s="172"/>
      <c r="P36" s="1"/>
    </row>
    <row r="37" spans="1:16" ht="5.0999999999999996" customHeight="1" x14ac:dyDescent="0.3">
      <c r="B37" s="145"/>
      <c r="C37" s="145"/>
      <c r="D37" s="147"/>
      <c r="E37" s="149"/>
      <c r="F37" s="1"/>
      <c r="G37" s="145"/>
      <c r="H37" s="145"/>
      <c r="I37" s="147"/>
      <c r="J37" s="149"/>
      <c r="K37" s="1"/>
      <c r="L37" s="145"/>
      <c r="M37" s="145"/>
      <c r="N37" s="145"/>
      <c r="O37" s="145"/>
      <c r="P37" s="145"/>
    </row>
    <row r="38" spans="1:16" x14ac:dyDescent="0.3">
      <c r="B38" s="145"/>
      <c r="C38" s="145"/>
      <c r="D38" s="147" t="s">
        <v>20</v>
      </c>
      <c r="E38" s="148"/>
      <c r="F38" s="1" t="s">
        <v>19</v>
      </c>
      <c r="G38" s="145"/>
      <c r="H38" s="145"/>
      <c r="I38" s="147" t="s">
        <v>842</v>
      </c>
      <c r="J38" s="148"/>
      <c r="K38" s="1" t="s">
        <v>19</v>
      </c>
      <c r="L38" s="145"/>
      <c r="M38" s="147" t="s">
        <v>844</v>
      </c>
      <c r="N38" s="148"/>
      <c r="O38" s="145"/>
      <c r="P38" s="145"/>
    </row>
    <row r="39" spans="1:16" ht="5.0999999999999996" customHeight="1" x14ac:dyDescent="0.3">
      <c r="B39" s="145"/>
      <c r="C39" s="145"/>
      <c r="D39" s="4"/>
      <c r="E39" s="149"/>
      <c r="F39" s="145"/>
      <c r="G39" s="145"/>
      <c r="H39" s="145"/>
      <c r="I39" s="147"/>
      <c r="J39" s="149"/>
      <c r="K39" s="145"/>
      <c r="L39" s="145"/>
      <c r="M39" s="145"/>
      <c r="N39" s="145"/>
      <c r="O39" s="147"/>
      <c r="P39" s="149"/>
    </row>
    <row r="40" spans="1:16" x14ac:dyDescent="0.3">
      <c r="B40" s="5" t="s">
        <v>23</v>
      </c>
      <c r="C40" s="1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63"/>
      <c r="P40" s="145"/>
    </row>
    <row r="41" spans="1:16" x14ac:dyDescent="0.3">
      <c r="A41" s="2" t="s">
        <v>60</v>
      </c>
      <c r="B41" s="289" t="s">
        <v>898</v>
      </c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1"/>
      <c r="P41" s="173"/>
    </row>
    <row r="42" spans="1:16" x14ac:dyDescent="0.3">
      <c r="A42" s="2" t="str">
        <f>IF($F$47="convencional","Estrutura + vedação",IF($F$47="não convencional","Paredes de concreto moldado in loco NBR 16055",IF($F$47="inovador","Pré-moldado bloco cerâmico","")))</f>
        <v>Estrutura + vedação</v>
      </c>
      <c r="B42" s="289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1"/>
      <c r="P42" s="173"/>
    </row>
    <row r="43" spans="1:16" x14ac:dyDescent="0.3">
      <c r="A43" s="2" t="str">
        <f>IF($F$47="convencional","Alvenaria estrutural",IF($F$47="inovador","Concreto leve",""))</f>
        <v>Alvenaria estrutural</v>
      </c>
      <c r="B43" s="292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4"/>
      <c r="P43" s="173"/>
    </row>
    <row r="44" spans="1:16" ht="5.0999999999999996" customHeight="1" x14ac:dyDescent="0.3">
      <c r="A44" s="2" t="str">
        <f>IF($F$47="não convencional","Painéis pré-moldados de concreto alveolar NBR 16475","")</f>
        <v/>
      </c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</row>
    <row r="45" spans="1:16" x14ac:dyDescent="0.3">
      <c r="A45" s="2" t="str">
        <f>IF($F$47="não convencional","Painéis pré-moldados de concreto NBR 16475","")</f>
        <v/>
      </c>
      <c r="B45" s="145"/>
      <c r="C45" s="145"/>
      <c r="D45" s="145"/>
      <c r="E45" s="4" t="s">
        <v>21</v>
      </c>
      <c r="F45" s="146" t="s">
        <v>862</v>
      </c>
      <c r="G45" s="145"/>
      <c r="H45" s="145"/>
      <c r="I45" s="145"/>
      <c r="J45" s="145"/>
      <c r="K45" s="145"/>
      <c r="L45" s="145"/>
      <c r="M45" s="145"/>
      <c r="N45" s="145"/>
      <c r="O45" s="145"/>
      <c r="P45" s="145"/>
    </row>
    <row r="46" spans="1:16" ht="3.15" customHeight="1" x14ac:dyDescent="0.3">
      <c r="A46" s="2" t="str">
        <f>IF($F$47="inovador","PVC + concreto","")</f>
        <v/>
      </c>
      <c r="B46" s="145"/>
      <c r="C46" s="145"/>
      <c r="D46" s="145"/>
      <c r="E46" s="145"/>
      <c r="F46" s="145"/>
      <c r="G46" s="145"/>
      <c r="H46" s="145"/>
      <c r="I46" s="145"/>
      <c r="J46" s="6"/>
      <c r="K46" s="6"/>
      <c r="L46" s="6"/>
      <c r="M46" s="6"/>
      <c r="N46" s="6"/>
      <c r="O46" s="6"/>
      <c r="P46" s="6"/>
    </row>
    <row r="47" spans="1:16" ht="19.5" customHeight="1" x14ac:dyDescent="0.3">
      <c r="A47" s="2" t="str">
        <f>IF($F$47="inovador","Wood frame","")</f>
        <v/>
      </c>
      <c r="B47" s="145"/>
      <c r="C47" s="145"/>
      <c r="D47" s="145"/>
      <c r="E47" s="4" t="s">
        <v>22</v>
      </c>
      <c r="F47" s="301" t="s">
        <v>863</v>
      </c>
      <c r="G47" s="301"/>
      <c r="H47" s="221"/>
      <c r="I47" s="145"/>
      <c r="J47" s="4" t="s">
        <v>745</v>
      </c>
      <c r="K47" s="295" t="s">
        <v>864</v>
      </c>
      <c r="L47" s="295"/>
      <c r="M47" s="295"/>
      <c r="N47" s="251"/>
      <c r="O47" s="251"/>
      <c r="P47" s="213"/>
    </row>
    <row r="48" spans="1:16" ht="3.15" customHeight="1" x14ac:dyDescent="0.3">
      <c r="A48" s="2" t="str">
        <f>IF($F$47="inovador","Painéis compósitos","")</f>
        <v/>
      </c>
      <c r="B48" s="145"/>
      <c r="C48" s="145"/>
      <c r="D48" s="145"/>
      <c r="E48" s="145"/>
      <c r="F48" s="145"/>
      <c r="G48" s="145"/>
      <c r="H48" s="145"/>
      <c r="I48" s="165"/>
      <c r="J48" s="145"/>
      <c r="K48" s="145"/>
      <c r="L48" s="145"/>
      <c r="M48" s="145"/>
      <c r="N48" s="145"/>
      <c r="O48" s="145"/>
      <c r="P48" s="6"/>
    </row>
    <row r="49" spans="1:17" ht="15" customHeight="1" x14ac:dyDescent="0.3">
      <c r="A49" s="2" t="str">
        <f>IF($F$47="inovador","Bloco gesso","")</f>
        <v/>
      </c>
      <c r="B49" s="4" t="s">
        <v>746</v>
      </c>
      <c r="C49" s="4"/>
      <c r="D49" s="4" t="s">
        <v>64</v>
      </c>
      <c r="E49" s="166" t="s">
        <v>872</v>
      </c>
      <c r="F49" s="167" t="s">
        <v>747</v>
      </c>
      <c r="G49" s="145"/>
      <c r="H49" s="145"/>
      <c r="I49" s="145"/>
      <c r="J49" s="4" t="s">
        <v>66</v>
      </c>
      <c r="K49" s="166" t="s">
        <v>870</v>
      </c>
      <c r="L49" s="4"/>
      <c r="M49" s="4" t="s">
        <v>65</v>
      </c>
      <c r="N49" s="166" t="s">
        <v>871</v>
      </c>
      <c r="O49" s="146" t="s">
        <v>865</v>
      </c>
    </row>
    <row r="50" spans="1:17" ht="3.15" customHeight="1" x14ac:dyDescent="0.3">
      <c r="A50" s="2" t="str">
        <f>IF($F$47="inovador","Solo-cimento","")</f>
        <v/>
      </c>
      <c r="B50" s="145"/>
      <c r="C50" s="145"/>
      <c r="D50" s="145"/>
      <c r="E50" s="145"/>
      <c r="F50" s="145"/>
      <c r="G50" s="145"/>
      <c r="H50" s="145"/>
      <c r="I50" s="145"/>
      <c r="J50" s="6"/>
      <c r="K50" s="6"/>
      <c r="L50" s="6"/>
      <c r="M50" s="6"/>
      <c r="N50" s="6"/>
      <c r="O50" s="6"/>
      <c r="P50" s="6"/>
    </row>
    <row r="51" spans="1:17" ht="15" customHeight="1" x14ac:dyDescent="0.3">
      <c r="A51" s="2" t="str">
        <f>IF($F$47="inovador","outro (especificar)","")</f>
        <v/>
      </c>
      <c r="B51" s="145"/>
      <c r="C51" s="145"/>
      <c r="D51" s="4" t="s">
        <v>26</v>
      </c>
      <c r="E51" s="168" t="str">
        <f>I66</f>
        <v>{ÁREA DO LOTE}</v>
      </c>
      <c r="F51" s="7" t="e">
        <f>IF($O$53=0,0,E51/$E$51)</f>
        <v>#VALUE!</v>
      </c>
      <c r="G51" s="145"/>
      <c r="H51" s="145"/>
      <c r="I51" s="145"/>
      <c r="J51" s="4" t="s">
        <v>28</v>
      </c>
      <c r="K51" s="168">
        <v>0</v>
      </c>
      <c r="L51" s="7" t="e">
        <f>IF($O$53=0,0,K51/$E$51)</f>
        <v>#VALUE!</v>
      </c>
      <c r="M51" s="176"/>
      <c r="N51" s="298" t="s">
        <v>67</v>
      </c>
      <c r="O51" s="298"/>
      <c r="P51" s="176"/>
      <c r="Q51" s="4"/>
    </row>
    <row r="52" spans="1:17" ht="3.15" customHeight="1" x14ac:dyDescent="0.3"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4" t="s">
        <v>743</v>
      </c>
    </row>
    <row r="53" spans="1:17" ht="15" customHeight="1" x14ac:dyDescent="0.3">
      <c r="B53" s="145"/>
      <c r="C53" s="145"/>
      <c r="D53" s="4" t="s">
        <v>27</v>
      </c>
      <c r="E53" s="168">
        <v>0</v>
      </c>
      <c r="F53" s="7" t="e">
        <f>IF($O$53=0,0,E53/$E$51)</f>
        <v>#VALUE!</v>
      </c>
      <c r="G53" s="145"/>
      <c r="H53" s="145"/>
      <c r="I53" s="145"/>
      <c r="J53" s="4" t="s">
        <v>29</v>
      </c>
      <c r="K53" s="168">
        <v>0</v>
      </c>
      <c r="L53" s="7" t="e">
        <f>IF($O$53=0,0,K53/$E$51)</f>
        <v>#VALUE!</v>
      </c>
      <c r="M53" s="169"/>
      <c r="N53" s="169" t="e">
        <f>E51-SUM(E53,E55,K51,K53,K55)</f>
        <v>#VALUE!</v>
      </c>
      <c r="O53" s="7" t="e">
        <f>IF($N$53=0,0,N53/$E$51)</f>
        <v>#VALUE!</v>
      </c>
      <c r="P53" s="214"/>
    </row>
    <row r="54" spans="1:17" ht="3.15" customHeight="1" x14ac:dyDescent="0.3"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</row>
    <row r="55" spans="1:17" x14ac:dyDescent="0.3">
      <c r="B55" s="145"/>
      <c r="C55" s="145"/>
      <c r="D55" s="4" t="s">
        <v>25</v>
      </c>
      <c r="E55" s="168">
        <v>0</v>
      </c>
      <c r="F55" s="7" t="e">
        <f>IF($O$53=0,0,E55/$E$51)</f>
        <v>#VALUE!</v>
      </c>
      <c r="G55" s="145"/>
      <c r="H55" s="145"/>
      <c r="I55" s="145"/>
      <c r="J55" s="4" t="s">
        <v>30</v>
      </c>
      <c r="K55" s="168">
        <v>0</v>
      </c>
      <c r="L55" s="7" t="e">
        <f>IF($O$53=0,0,K55/$E$51)</f>
        <v>#VALUE!</v>
      </c>
      <c r="M55" s="7"/>
      <c r="N55" s="7"/>
      <c r="O55" s="145"/>
      <c r="P55" s="145"/>
    </row>
    <row r="56" spans="1:17" ht="3.15" customHeight="1" x14ac:dyDescent="0.3"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</row>
    <row r="57" spans="1:17" ht="15" customHeight="1" x14ac:dyDescent="0.3">
      <c r="B57" s="303" t="s">
        <v>744</v>
      </c>
      <c r="C57" s="303"/>
      <c r="D57" s="303"/>
      <c r="E57" s="303"/>
      <c r="F57" s="145"/>
      <c r="G57" s="181" t="s">
        <v>26</v>
      </c>
      <c r="H57" s="181"/>
      <c r="I57" s="216">
        <f>IF($F$30="sim",E51*$K$172/MAX($I$67,1),0)</f>
        <v>0</v>
      </c>
      <c r="J57" s="217" t="s">
        <v>24</v>
      </c>
      <c r="K57" s="180"/>
      <c r="L57" s="181" t="s">
        <v>67</v>
      </c>
      <c r="M57" s="181"/>
      <c r="N57" s="216">
        <f>IF($F$30="sim",N53*$K$172/MAX($I$67,1),0)</f>
        <v>0</v>
      </c>
      <c r="O57" s="217" t="s">
        <v>24</v>
      </c>
      <c r="P57" s="215"/>
    </row>
    <row r="58" spans="1:17" ht="5.0999999999999996" customHeight="1" x14ac:dyDescent="0.3"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</row>
    <row r="59" spans="1:17" x14ac:dyDescent="0.3">
      <c r="B59" s="145"/>
      <c r="C59" s="145"/>
      <c r="D59" s="145"/>
      <c r="E59" s="4" t="s">
        <v>33</v>
      </c>
      <c r="F59" s="170">
        <v>0</v>
      </c>
      <c r="G59" s="145"/>
      <c r="H59" s="145"/>
      <c r="I59" s="145"/>
      <c r="J59" s="145"/>
      <c r="K59" s="145"/>
      <c r="L59" s="4"/>
      <c r="M59" s="4" t="s">
        <v>31</v>
      </c>
      <c r="N59" s="148" t="s">
        <v>899</v>
      </c>
      <c r="O59" s="1" t="s">
        <v>32</v>
      </c>
      <c r="P59" s="1"/>
    </row>
    <row r="60" spans="1:17" ht="5.0999999999999996" customHeight="1" x14ac:dyDescent="0.3"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</row>
    <row r="61" spans="1:17" x14ac:dyDescent="0.3">
      <c r="B61" s="5" t="s">
        <v>34</v>
      </c>
      <c r="C61" s="1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63"/>
      <c r="P61" s="145"/>
    </row>
    <row r="62" spans="1:17" ht="15" customHeight="1" x14ac:dyDescent="0.3">
      <c r="A62" s="237"/>
      <c r="B62" s="289" t="s">
        <v>867</v>
      </c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1"/>
      <c r="P62" s="173"/>
    </row>
    <row r="63" spans="1:17" x14ac:dyDescent="0.3">
      <c r="A63" s="237"/>
      <c r="B63" s="289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1"/>
      <c r="P63" s="173"/>
    </row>
    <row r="64" spans="1:17" x14ac:dyDescent="0.3">
      <c r="A64" s="237"/>
      <c r="B64" s="292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294"/>
      <c r="P64" s="173"/>
    </row>
    <row r="65" spans="1:16" x14ac:dyDescent="0.3">
      <c r="A65" s="238"/>
      <c r="B65" s="157"/>
      <c r="C65" s="145"/>
      <c r="D65" s="4"/>
      <c r="E65" s="169"/>
      <c r="F65" s="7"/>
      <c r="G65" s="145"/>
      <c r="H65" s="145"/>
      <c r="I65" s="145"/>
      <c r="J65" s="145"/>
      <c r="K65" s="145"/>
      <c r="L65" s="4"/>
      <c r="M65" s="4"/>
      <c r="N65" s="4"/>
      <c r="O65" s="169"/>
      <c r="P65" s="6"/>
    </row>
    <row r="66" spans="1:16" x14ac:dyDescent="0.3">
      <c r="A66" s="238"/>
      <c r="B66" s="6" t="s">
        <v>16</v>
      </c>
      <c r="C66" s="6"/>
      <c r="D66" s="145"/>
      <c r="E66" s="145"/>
      <c r="F66" s="145"/>
      <c r="G66" s="145"/>
      <c r="H66" s="145"/>
      <c r="I66" s="302" t="s">
        <v>893</v>
      </c>
      <c r="J66" s="302"/>
      <c r="K66" s="145"/>
      <c r="L66" s="4"/>
      <c r="M66" s="4"/>
      <c r="N66" s="4"/>
      <c r="O66" s="169"/>
      <c r="P66" s="6"/>
    </row>
    <row r="67" spans="1:16" x14ac:dyDescent="0.3">
      <c r="A67" s="238"/>
      <c r="B67" s="6" t="s">
        <v>15</v>
      </c>
      <c r="C67" s="6"/>
      <c r="D67" s="145"/>
      <c r="E67" s="145"/>
      <c r="F67" s="145"/>
      <c r="G67" s="145"/>
      <c r="H67" s="145"/>
      <c r="I67" s="302" t="s">
        <v>894</v>
      </c>
      <c r="J67" s="302"/>
      <c r="K67" s="145"/>
      <c r="L67" s="4"/>
      <c r="M67" s="4"/>
      <c r="N67" s="4"/>
      <c r="O67" s="169"/>
      <c r="P67" s="6"/>
    </row>
    <row r="68" spans="1:16" ht="8.1" customHeight="1" x14ac:dyDescent="0.3">
      <c r="A68" s="238"/>
    </row>
    <row r="69" spans="1:16" ht="15" customHeight="1" x14ac:dyDescent="0.3">
      <c r="A69" s="237"/>
      <c r="B69" s="296" t="s">
        <v>698</v>
      </c>
      <c r="C69" s="252" t="s">
        <v>856</v>
      </c>
      <c r="D69" s="252" t="s">
        <v>72</v>
      </c>
      <c r="E69" s="308" t="s">
        <v>71</v>
      </c>
      <c r="F69" s="309"/>
      <c r="G69" s="252" t="str">
        <f>IF(programa=$A$6,"", "Área privativa real
col. 23")</f>
        <v>Área privativa real
col. 23</v>
      </c>
      <c r="H69" s="317" t="s">
        <v>846</v>
      </c>
      <c r="I69" s="252" t="str">
        <f>IF(programa=$A$6,"","Área privativa equivalente
col. 24")</f>
        <v>Área privativa equivalente
col. 24</v>
      </c>
      <c r="J69" s="252" t="str">
        <f>IF(programa=$A$6,"","Área total real
col. 37")</f>
        <v>Área total real
col. 37</v>
      </c>
      <c r="K69" s="252" t="str">
        <f>IF(programa=$A$6,"Área do lote","Área total equivalente
col. 38")</f>
        <v>Área total equivalente
col. 38</v>
      </c>
      <c r="L69" s="252" t="str">
        <f>IF(programa=$A$6,"","Área equiv. de divisão não proporcional
col. 30")</f>
        <v>Área equiv. de divisão não proporcional
col. 30</v>
      </c>
      <c r="M69" s="252" t="str">
        <f>IF(programa=$A$6,"","Fração Ideal")</f>
        <v>Fração Ideal</v>
      </c>
      <c r="N69" s="252" t="s">
        <v>748</v>
      </c>
      <c r="O69" s="252" t="s">
        <v>73</v>
      </c>
      <c r="P69" s="314"/>
    </row>
    <row r="70" spans="1:16" ht="15" customHeight="1" x14ac:dyDescent="0.3">
      <c r="A70" s="237"/>
      <c r="B70" s="296"/>
      <c r="C70" s="252"/>
      <c r="D70" s="252"/>
      <c r="E70" s="308"/>
      <c r="F70" s="309"/>
      <c r="G70" s="252"/>
      <c r="H70" s="317"/>
      <c r="I70" s="252"/>
      <c r="J70" s="252"/>
      <c r="K70" s="252"/>
      <c r="L70" s="252"/>
      <c r="M70" s="252"/>
      <c r="N70" s="252"/>
      <c r="O70" s="252"/>
      <c r="P70" s="314"/>
    </row>
    <row r="71" spans="1:16" ht="29.4" customHeight="1" x14ac:dyDescent="0.3">
      <c r="A71" s="237"/>
      <c r="B71" s="297"/>
      <c r="C71" s="253"/>
      <c r="D71" s="253"/>
      <c r="E71" s="310"/>
      <c r="F71" s="311"/>
      <c r="G71" s="253"/>
      <c r="H71" s="220" t="s">
        <v>847</v>
      </c>
      <c r="I71" s="253"/>
      <c r="J71" s="253"/>
      <c r="K71" s="253"/>
      <c r="L71" s="253"/>
      <c r="M71" s="253"/>
      <c r="N71" s="253"/>
      <c r="O71" s="253"/>
      <c r="P71" s="314"/>
    </row>
    <row r="72" spans="1:16" ht="60.6" customHeight="1" x14ac:dyDescent="0.3">
      <c r="A72" s="330" t="s">
        <v>70</v>
      </c>
      <c r="B72" s="114">
        <v>1</v>
      </c>
      <c r="C72" s="114"/>
      <c r="D72" s="223" t="s">
        <v>892</v>
      </c>
      <c r="E72" s="312" t="s">
        <v>866</v>
      </c>
      <c r="F72" s="313"/>
      <c r="G72" s="224">
        <v>257.7</v>
      </c>
      <c r="H72" s="224">
        <v>71.97</v>
      </c>
      <c r="I72" s="224">
        <v>71.97</v>
      </c>
      <c r="J72" s="224">
        <v>257.7</v>
      </c>
      <c r="K72" s="224">
        <v>71.97</v>
      </c>
      <c r="L72" s="224">
        <v>71.97</v>
      </c>
      <c r="M72" s="225">
        <v>257.7</v>
      </c>
      <c r="N72" s="226">
        <v>350000</v>
      </c>
      <c r="O72" s="16" t="e">
        <f>N72*D72</f>
        <v>#VALUE!</v>
      </c>
      <c r="P72" s="16"/>
    </row>
    <row r="73" spans="1:16" ht="60.6" customHeight="1" x14ac:dyDescent="0.3">
      <c r="A73" s="330"/>
      <c r="B73" s="114">
        <f>B72+1</f>
        <v>2</v>
      </c>
      <c r="C73" s="114"/>
      <c r="D73" s="223"/>
      <c r="E73" s="312"/>
      <c r="F73" s="313"/>
      <c r="G73" s="224"/>
      <c r="H73" s="224"/>
      <c r="I73" s="228"/>
      <c r="J73" s="228"/>
      <c r="K73" s="228"/>
      <c r="L73" s="228"/>
      <c r="M73" s="229"/>
      <c r="N73" s="226"/>
      <c r="O73" s="16">
        <f t="shared" ref="O73:O136" si="0">N73*D73</f>
        <v>0</v>
      </c>
      <c r="P73" s="16"/>
    </row>
    <row r="74" spans="1:16" ht="60.6" customHeight="1" x14ac:dyDescent="0.3">
      <c r="A74" s="330"/>
      <c r="B74" s="114">
        <f t="shared" ref="B74:B171" si="1">B73+1</f>
        <v>3</v>
      </c>
      <c r="C74" s="114"/>
      <c r="D74" s="223"/>
      <c r="E74" s="312"/>
      <c r="F74" s="313"/>
      <c r="G74" s="224"/>
      <c r="H74" s="224"/>
      <c r="I74" s="228"/>
      <c r="J74" s="228"/>
      <c r="K74" s="228"/>
      <c r="L74" s="228"/>
      <c r="M74" s="229"/>
      <c r="N74" s="226"/>
      <c r="O74" s="16">
        <f t="shared" si="0"/>
        <v>0</v>
      </c>
      <c r="P74" s="16"/>
    </row>
    <row r="75" spans="1:16" ht="60.6" customHeight="1" x14ac:dyDescent="0.3">
      <c r="A75" s="330"/>
      <c r="B75" s="114">
        <f t="shared" si="1"/>
        <v>4</v>
      </c>
      <c r="C75" s="114"/>
      <c r="D75" s="223"/>
      <c r="E75" s="312"/>
      <c r="F75" s="313"/>
      <c r="G75" s="228"/>
      <c r="H75" s="228"/>
      <c r="I75" s="228"/>
      <c r="J75" s="228"/>
      <c r="K75" s="228"/>
      <c r="L75" s="228"/>
      <c r="M75" s="229"/>
      <c r="N75" s="226"/>
      <c r="O75" s="16">
        <f t="shared" si="0"/>
        <v>0</v>
      </c>
      <c r="P75" s="16"/>
    </row>
    <row r="76" spans="1:16" ht="60.6" customHeight="1" x14ac:dyDescent="0.3">
      <c r="A76" s="330"/>
      <c r="B76" s="114">
        <f t="shared" si="1"/>
        <v>5</v>
      </c>
      <c r="C76" s="114"/>
      <c r="D76" s="223"/>
      <c r="E76" s="312"/>
      <c r="F76" s="313"/>
      <c r="G76" s="228"/>
      <c r="H76" s="228"/>
      <c r="I76" s="228"/>
      <c r="J76" s="228"/>
      <c r="K76" s="228"/>
      <c r="L76" s="228"/>
      <c r="M76" s="229"/>
      <c r="N76" s="226"/>
      <c r="O76" s="16">
        <f t="shared" si="0"/>
        <v>0</v>
      </c>
      <c r="P76" s="16"/>
    </row>
    <row r="77" spans="1:16" ht="60.6" customHeight="1" x14ac:dyDescent="0.3">
      <c r="A77" s="330"/>
      <c r="B77" s="114">
        <f t="shared" si="1"/>
        <v>6</v>
      </c>
      <c r="C77" s="114"/>
      <c r="D77" s="223"/>
      <c r="E77" s="312"/>
      <c r="F77" s="313"/>
      <c r="G77" s="228"/>
      <c r="H77" s="228"/>
      <c r="I77" s="228"/>
      <c r="J77" s="228"/>
      <c r="K77" s="228"/>
      <c r="L77" s="228"/>
      <c r="M77" s="229"/>
      <c r="N77" s="226"/>
      <c r="O77" s="16">
        <f t="shared" si="0"/>
        <v>0</v>
      </c>
      <c r="P77" s="16"/>
    </row>
    <row r="78" spans="1:16" hidden="1" x14ac:dyDescent="0.3">
      <c r="A78" s="330"/>
      <c r="B78" s="114">
        <f t="shared" si="1"/>
        <v>7</v>
      </c>
      <c r="C78" s="114"/>
      <c r="D78" s="227"/>
      <c r="E78" s="306"/>
      <c r="F78" s="307"/>
      <c r="G78" s="228"/>
      <c r="H78" s="228"/>
      <c r="I78" s="228"/>
      <c r="J78" s="228"/>
      <c r="K78" s="228"/>
      <c r="L78" s="228"/>
      <c r="M78" s="229"/>
      <c r="N78" s="230"/>
      <c r="O78" s="16">
        <f t="shared" si="0"/>
        <v>0</v>
      </c>
      <c r="P78" s="16"/>
    </row>
    <row r="79" spans="1:16" hidden="1" x14ac:dyDescent="0.3">
      <c r="A79" s="330"/>
      <c r="B79" s="114">
        <f t="shared" si="1"/>
        <v>8</v>
      </c>
      <c r="C79" s="114"/>
      <c r="D79" s="227"/>
      <c r="E79" s="306"/>
      <c r="F79" s="307"/>
      <c r="G79" s="228"/>
      <c r="H79" s="228"/>
      <c r="I79" s="228"/>
      <c r="J79" s="228"/>
      <c r="K79" s="228"/>
      <c r="L79" s="228"/>
      <c r="M79" s="229"/>
      <c r="N79" s="230"/>
      <c r="O79" s="16">
        <f t="shared" si="0"/>
        <v>0</v>
      </c>
      <c r="P79" s="16"/>
    </row>
    <row r="80" spans="1:16" hidden="1" x14ac:dyDescent="0.3">
      <c r="A80" s="330"/>
      <c r="B80" s="114">
        <f t="shared" si="1"/>
        <v>9</v>
      </c>
      <c r="C80" s="114"/>
      <c r="D80" s="227"/>
      <c r="E80" s="306"/>
      <c r="F80" s="307"/>
      <c r="G80" s="228"/>
      <c r="H80" s="228"/>
      <c r="I80" s="228"/>
      <c r="J80" s="228"/>
      <c r="K80" s="228"/>
      <c r="L80" s="228"/>
      <c r="M80" s="229"/>
      <c r="N80" s="230"/>
      <c r="O80" s="16">
        <f t="shared" si="0"/>
        <v>0</v>
      </c>
      <c r="P80" s="16"/>
    </row>
    <row r="81" spans="1:16" hidden="1" x14ac:dyDescent="0.3">
      <c r="A81" s="330"/>
      <c r="B81" s="114">
        <f t="shared" si="1"/>
        <v>10</v>
      </c>
      <c r="C81" s="114"/>
      <c r="D81" s="227"/>
      <c r="E81" s="306"/>
      <c r="F81" s="307"/>
      <c r="G81" s="228"/>
      <c r="H81" s="228"/>
      <c r="I81" s="228"/>
      <c r="J81" s="228"/>
      <c r="K81" s="228"/>
      <c r="L81" s="228"/>
      <c r="M81" s="229"/>
      <c r="N81" s="230"/>
      <c r="O81" s="16">
        <f t="shared" si="0"/>
        <v>0</v>
      </c>
      <c r="P81" s="16"/>
    </row>
    <row r="82" spans="1:16" hidden="1" x14ac:dyDescent="0.3">
      <c r="A82" s="330"/>
      <c r="B82" s="114">
        <f t="shared" si="1"/>
        <v>11</v>
      </c>
      <c r="C82" s="114"/>
      <c r="D82" s="227"/>
      <c r="E82" s="306"/>
      <c r="F82" s="307"/>
      <c r="G82" s="228"/>
      <c r="H82" s="228"/>
      <c r="I82" s="228"/>
      <c r="J82" s="228"/>
      <c r="K82" s="228"/>
      <c r="L82" s="228"/>
      <c r="M82" s="229"/>
      <c r="N82" s="230"/>
      <c r="O82" s="16">
        <f t="shared" si="0"/>
        <v>0</v>
      </c>
      <c r="P82" s="16"/>
    </row>
    <row r="83" spans="1:16" hidden="1" x14ac:dyDescent="0.3">
      <c r="A83" s="330"/>
      <c r="B83" s="114">
        <f t="shared" si="1"/>
        <v>12</v>
      </c>
      <c r="C83" s="114"/>
      <c r="D83" s="227"/>
      <c r="E83" s="306"/>
      <c r="F83" s="307"/>
      <c r="G83" s="228"/>
      <c r="H83" s="228"/>
      <c r="I83" s="228"/>
      <c r="J83" s="228"/>
      <c r="K83" s="228"/>
      <c r="L83" s="228"/>
      <c r="M83" s="229"/>
      <c r="N83" s="230"/>
      <c r="O83" s="16">
        <f t="shared" si="0"/>
        <v>0</v>
      </c>
      <c r="P83" s="16"/>
    </row>
    <row r="84" spans="1:16" hidden="1" x14ac:dyDescent="0.3">
      <c r="A84" s="330"/>
      <c r="B84" s="114">
        <f t="shared" si="1"/>
        <v>13</v>
      </c>
      <c r="C84" s="114"/>
      <c r="D84" s="227"/>
      <c r="E84" s="306"/>
      <c r="F84" s="307"/>
      <c r="G84" s="228"/>
      <c r="H84" s="228"/>
      <c r="I84" s="228"/>
      <c r="J84" s="228"/>
      <c r="K84" s="228"/>
      <c r="L84" s="228"/>
      <c r="M84" s="229"/>
      <c r="N84" s="230"/>
      <c r="O84" s="16">
        <f t="shared" si="0"/>
        <v>0</v>
      </c>
      <c r="P84" s="16"/>
    </row>
    <row r="85" spans="1:16" ht="15" hidden="1" customHeight="1" x14ac:dyDescent="0.3">
      <c r="A85" s="330"/>
      <c r="B85" s="114">
        <f t="shared" si="1"/>
        <v>14</v>
      </c>
      <c r="C85" s="114"/>
      <c r="D85" s="227"/>
      <c r="E85" s="306"/>
      <c r="F85" s="307"/>
      <c r="G85" s="228"/>
      <c r="H85" s="228"/>
      <c r="I85" s="228"/>
      <c r="J85" s="228"/>
      <c r="K85" s="228"/>
      <c r="L85" s="228"/>
      <c r="M85" s="229"/>
      <c r="N85" s="230"/>
      <c r="O85" s="16">
        <f t="shared" si="0"/>
        <v>0</v>
      </c>
      <c r="P85" s="16"/>
    </row>
    <row r="86" spans="1:16" hidden="1" x14ac:dyDescent="0.3">
      <c r="A86" s="330"/>
      <c r="B86" s="114">
        <f t="shared" si="1"/>
        <v>15</v>
      </c>
      <c r="C86" s="114"/>
      <c r="D86" s="227"/>
      <c r="E86" s="306"/>
      <c r="F86" s="307"/>
      <c r="G86" s="228"/>
      <c r="H86" s="228"/>
      <c r="I86" s="228"/>
      <c r="J86" s="228"/>
      <c r="K86" s="228"/>
      <c r="L86" s="228"/>
      <c r="M86" s="229"/>
      <c r="N86" s="230"/>
      <c r="O86" s="16">
        <f t="shared" si="0"/>
        <v>0</v>
      </c>
      <c r="P86" s="16"/>
    </row>
    <row r="87" spans="1:16" hidden="1" x14ac:dyDescent="0.3">
      <c r="A87" s="330"/>
      <c r="B87" s="114">
        <f t="shared" si="1"/>
        <v>16</v>
      </c>
      <c r="C87" s="114"/>
      <c r="D87" s="227"/>
      <c r="E87" s="306"/>
      <c r="F87" s="307"/>
      <c r="G87" s="228"/>
      <c r="H87" s="228"/>
      <c r="I87" s="228"/>
      <c r="J87" s="228"/>
      <c r="K87" s="228"/>
      <c r="L87" s="228"/>
      <c r="M87" s="229"/>
      <c r="N87" s="230"/>
      <c r="O87" s="16">
        <f t="shared" si="0"/>
        <v>0</v>
      </c>
      <c r="P87" s="16"/>
    </row>
    <row r="88" spans="1:16" hidden="1" x14ac:dyDescent="0.3">
      <c r="A88" s="330"/>
      <c r="B88" s="114">
        <f t="shared" si="1"/>
        <v>17</v>
      </c>
      <c r="C88" s="114"/>
      <c r="D88" s="227"/>
      <c r="E88" s="306"/>
      <c r="F88" s="307"/>
      <c r="G88" s="228"/>
      <c r="H88" s="228"/>
      <c r="I88" s="228"/>
      <c r="J88" s="228"/>
      <c r="K88" s="228"/>
      <c r="L88" s="228"/>
      <c r="M88" s="229"/>
      <c r="N88" s="230"/>
      <c r="O88" s="16">
        <f t="shared" si="0"/>
        <v>0</v>
      </c>
      <c r="P88" s="16"/>
    </row>
    <row r="89" spans="1:16" hidden="1" x14ac:dyDescent="0.3">
      <c r="A89" s="330"/>
      <c r="B89" s="114">
        <f t="shared" si="1"/>
        <v>18</v>
      </c>
      <c r="C89" s="114"/>
      <c r="D89" s="227"/>
      <c r="E89" s="306"/>
      <c r="F89" s="307"/>
      <c r="G89" s="228"/>
      <c r="H89" s="228"/>
      <c r="I89" s="228"/>
      <c r="J89" s="228"/>
      <c r="K89" s="228"/>
      <c r="L89" s="228"/>
      <c r="M89" s="229"/>
      <c r="N89" s="230"/>
      <c r="O89" s="16">
        <f t="shared" si="0"/>
        <v>0</v>
      </c>
      <c r="P89" s="16"/>
    </row>
    <row r="90" spans="1:16" hidden="1" x14ac:dyDescent="0.3">
      <c r="A90" s="330"/>
      <c r="B90" s="114">
        <f t="shared" si="1"/>
        <v>19</v>
      </c>
      <c r="C90" s="114"/>
      <c r="D90" s="227"/>
      <c r="E90" s="306"/>
      <c r="F90" s="307"/>
      <c r="G90" s="228"/>
      <c r="H90" s="228"/>
      <c r="I90" s="228"/>
      <c r="J90" s="228"/>
      <c r="K90" s="228"/>
      <c r="L90" s="228"/>
      <c r="M90" s="229"/>
      <c r="N90" s="230"/>
      <c r="O90" s="16">
        <f t="shared" si="0"/>
        <v>0</v>
      </c>
      <c r="P90" s="16"/>
    </row>
    <row r="91" spans="1:16" hidden="1" x14ac:dyDescent="0.3">
      <c r="A91" s="330"/>
      <c r="B91" s="114">
        <f t="shared" si="1"/>
        <v>20</v>
      </c>
      <c r="C91" s="114"/>
      <c r="D91" s="227"/>
      <c r="E91" s="306"/>
      <c r="F91" s="307"/>
      <c r="G91" s="228"/>
      <c r="H91" s="228"/>
      <c r="I91" s="228"/>
      <c r="J91" s="228"/>
      <c r="K91" s="228"/>
      <c r="L91" s="228"/>
      <c r="M91" s="229"/>
      <c r="N91" s="230"/>
      <c r="O91" s="16">
        <f t="shared" si="0"/>
        <v>0</v>
      </c>
      <c r="P91" s="16"/>
    </row>
    <row r="92" spans="1:16" hidden="1" x14ac:dyDescent="0.3">
      <c r="A92" s="237"/>
      <c r="B92" s="114">
        <f t="shared" si="1"/>
        <v>21</v>
      </c>
      <c r="C92" s="114"/>
      <c r="D92" s="227"/>
      <c r="E92" s="306"/>
      <c r="F92" s="307"/>
      <c r="G92" s="228"/>
      <c r="H92" s="228"/>
      <c r="I92" s="228"/>
      <c r="J92" s="228"/>
      <c r="K92" s="228"/>
      <c r="L92" s="228"/>
      <c r="M92" s="229"/>
      <c r="N92" s="230"/>
      <c r="O92" s="16">
        <f t="shared" si="0"/>
        <v>0</v>
      </c>
      <c r="P92" s="16"/>
    </row>
    <row r="93" spans="1:16" hidden="1" x14ac:dyDescent="0.3">
      <c r="A93" s="237"/>
      <c r="B93" s="114">
        <f t="shared" si="1"/>
        <v>22</v>
      </c>
      <c r="C93" s="114"/>
      <c r="D93" s="227"/>
      <c r="E93" s="306"/>
      <c r="F93" s="307"/>
      <c r="G93" s="228"/>
      <c r="H93" s="228"/>
      <c r="I93" s="228"/>
      <c r="J93" s="228"/>
      <c r="K93" s="228"/>
      <c r="L93" s="228"/>
      <c r="M93" s="229"/>
      <c r="N93" s="230"/>
      <c r="O93" s="16">
        <f t="shared" si="0"/>
        <v>0</v>
      </c>
      <c r="P93" s="16"/>
    </row>
    <row r="94" spans="1:16" hidden="1" x14ac:dyDescent="0.3">
      <c r="A94" s="237"/>
      <c r="B94" s="114">
        <f t="shared" si="1"/>
        <v>23</v>
      </c>
      <c r="C94" s="114"/>
      <c r="D94" s="227"/>
      <c r="E94" s="306"/>
      <c r="F94" s="307"/>
      <c r="G94" s="228"/>
      <c r="H94" s="228"/>
      <c r="I94" s="228"/>
      <c r="J94" s="228"/>
      <c r="K94" s="228"/>
      <c r="L94" s="228"/>
      <c r="M94" s="229"/>
      <c r="N94" s="230"/>
      <c r="O94" s="16">
        <f t="shared" si="0"/>
        <v>0</v>
      </c>
      <c r="P94" s="16"/>
    </row>
    <row r="95" spans="1:16" hidden="1" x14ac:dyDescent="0.3">
      <c r="A95" s="237"/>
      <c r="B95" s="114">
        <f t="shared" si="1"/>
        <v>24</v>
      </c>
      <c r="C95" s="114"/>
      <c r="D95" s="227"/>
      <c r="E95" s="306"/>
      <c r="F95" s="307"/>
      <c r="G95" s="228"/>
      <c r="H95" s="228"/>
      <c r="I95" s="228"/>
      <c r="J95" s="228"/>
      <c r="K95" s="228"/>
      <c r="L95" s="228"/>
      <c r="M95" s="229"/>
      <c r="N95" s="230"/>
      <c r="O95" s="16">
        <f t="shared" si="0"/>
        <v>0</v>
      </c>
      <c r="P95" s="16"/>
    </row>
    <row r="96" spans="1:16" hidden="1" x14ac:dyDescent="0.3">
      <c r="A96" s="237"/>
      <c r="B96" s="114">
        <f t="shared" si="1"/>
        <v>25</v>
      </c>
      <c r="C96" s="114"/>
      <c r="D96" s="227"/>
      <c r="E96" s="306"/>
      <c r="F96" s="307"/>
      <c r="G96" s="228"/>
      <c r="H96" s="228"/>
      <c r="I96" s="228"/>
      <c r="J96" s="228"/>
      <c r="K96" s="228"/>
      <c r="L96" s="228"/>
      <c r="M96" s="229"/>
      <c r="N96" s="230"/>
      <c r="O96" s="16">
        <f t="shared" si="0"/>
        <v>0</v>
      </c>
      <c r="P96" s="16"/>
    </row>
    <row r="97" spans="1:16" hidden="1" x14ac:dyDescent="0.3">
      <c r="A97" s="237"/>
      <c r="B97" s="114">
        <f t="shared" si="1"/>
        <v>26</v>
      </c>
      <c r="C97" s="114"/>
      <c r="D97" s="227"/>
      <c r="E97" s="306"/>
      <c r="F97" s="307"/>
      <c r="G97" s="228"/>
      <c r="H97" s="228"/>
      <c r="I97" s="228"/>
      <c r="J97" s="228"/>
      <c r="K97" s="228"/>
      <c r="L97" s="228"/>
      <c r="M97" s="229"/>
      <c r="N97" s="230"/>
      <c r="O97" s="16">
        <f t="shared" si="0"/>
        <v>0</v>
      </c>
      <c r="P97" s="16"/>
    </row>
    <row r="98" spans="1:16" hidden="1" x14ac:dyDescent="0.3">
      <c r="A98" s="237"/>
      <c r="B98" s="114">
        <f t="shared" si="1"/>
        <v>27</v>
      </c>
      <c r="C98" s="114"/>
      <c r="D98" s="227"/>
      <c r="E98" s="306"/>
      <c r="F98" s="307"/>
      <c r="G98" s="228"/>
      <c r="H98" s="228"/>
      <c r="I98" s="228"/>
      <c r="J98" s="228"/>
      <c r="K98" s="228"/>
      <c r="L98" s="228"/>
      <c r="M98" s="229"/>
      <c r="N98" s="230"/>
      <c r="O98" s="16">
        <f t="shared" si="0"/>
        <v>0</v>
      </c>
      <c r="P98" s="16"/>
    </row>
    <row r="99" spans="1:16" hidden="1" x14ac:dyDescent="0.3">
      <c r="A99" s="237"/>
      <c r="B99" s="114">
        <f t="shared" si="1"/>
        <v>28</v>
      </c>
      <c r="C99" s="114"/>
      <c r="D99" s="227"/>
      <c r="E99" s="306"/>
      <c r="F99" s="307"/>
      <c r="G99" s="228"/>
      <c r="H99" s="228"/>
      <c r="I99" s="228"/>
      <c r="J99" s="228"/>
      <c r="K99" s="228"/>
      <c r="L99" s="228"/>
      <c r="M99" s="229"/>
      <c r="N99" s="230"/>
      <c r="O99" s="16">
        <f t="shared" si="0"/>
        <v>0</v>
      </c>
      <c r="P99" s="16"/>
    </row>
    <row r="100" spans="1:16" hidden="1" x14ac:dyDescent="0.3">
      <c r="A100" s="237"/>
      <c r="B100" s="114">
        <f t="shared" si="1"/>
        <v>29</v>
      </c>
      <c r="C100" s="114"/>
      <c r="D100" s="227"/>
      <c r="E100" s="306"/>
      <c r="F100" s="307"/>
      <c r="G100" s="228"/>
      <c r="H100" s="228"/>
      <c r="I100" s="228"/>
      <c r="J100" s="228"/>
      <c r="K100" s="228"/>
      <c r="L100" s="228"/>
      <c r="M100" s="229"/>
      <c r="N100" s="230"/>
      <c r="O100" s="16">
        <f t="shared" si="0"/>
        <v>0</v>
      </c>
      <c r="P100" s="16"/>
    </row>
    <row r="101" spans="1:16" hidden="1" x14ac:dyDescent="0.3">
      <c r="A101" s="237"/>
      <c r="B101" s="114">
        <f t="shared" si="1"/>
        <v>30</v>
      </c>
      <c r="C101" s="114"/>
      <c r="D101" s="227"/>
      <c r="E101" s="306"/>
      <c r="F101" s="307"/>
      <c r="G101" s="228"/>
      <c r="H101" s="228"/>
      <c r="I101" s="228"/>
      <c r="J101" s="228"/>
      <c r="K101" s="228"/>
      <c r="L101" s="228"/>
      <c r="M101" s="229"/>
      <c r="N101" s="230"/>
      <c r="O101" s="16">
        <f t="shared" si="0"/>
        <v>0</v>
      </c>
      <c r="P101" s="16"/>
    </row>
    <row r="102" spans="1:16" hidden="1" x14ac:dyDescent="0.3">
      <c r="A102" s="237"/>
      <c r="B102" s="114">
        <f t="shared" si="1"/>
        <v>31</v>
      </c>
      <c r="C102" s="114"/>
      <c r="D102" s="227"/>
      <c r="E102" s="306"/>
      <c r="F102" s="307"/>
      <c r="G102" s="228"/>
      <c r="H102" s="228"/>
      <c r="I102" s="228"/>
      <c r="J102" s="228"/>
      <c r="K102" s="228"/>
      <c r="L102" s="228"/>
      <c r="M102" s="229"/>
      <c r="N102" s="230"/>
      <c r="O102" s="16">
        <f t="shared" si="0"/>
        <v>0</v>
      </c>
      <c r="P102" s="16"/>
    </row>
    <row r="103" spans="1:16" hidden="1" x14ac:dyDescent="0.3">
      <c r="A103" s="237"/>
      <c r="B103" s="114">
        <f t="shared" si="1"/>
        <v>32</v>
      </c>
      <c r="C103" s="114"/>
      <c r="D103" s="227"/>
      <c r="E103" s="306"/>
      <c r="F103" s="307"/>
      <c r="G103" s="228"/>
      <c r="H103" s="228"/>
      <c r="I103" s="228"/>
      <c r="J103" s="228"/>
      <c r="K103" s="228"/>
      <c r="L103" s="228"/>
      <c r="M103" s="229"/>
      <c r="N103" s="230"/>
      <c r="O103" s="16">
        <f t="shared" si="0"/>
        <v>0</v>
      </c>
      <c r="P103" s="16"/>
    </row>
    <row r="104" spans="1:16" hidden="1" x14ac:dyDescent="0.3">
      <c r="A104" s="237"/>
      <c r="B104" s="114">
        <f t="shared" si="1"/>
        <v>33</v>
      </c>
      <c r="C104" s="114"/>
      <c r="D104" s="227"/>
      <c r="E104" s="306"/>
      <c r="F104" s="307"/>
      <c r="G104" s="228"/>
      <c r="H104" s="228"/>
      <c r="I104" s="228"/>
      <c r="J104" s="228"/>
      <c r="K104" s="228"/>
      <c r="L104" s="228"/>
      <c r="M104" s="229"/>
      <c r="N104" s="230"/>
      <c r="O104" s="16">
        <f t="shared" si="0"/>
        <v>0</v>
      </c>
      <c r="P104" s="16"/>
    </row>
    <row r="105" spans="1:16" hidden="1" x14ac:dyDescent="0.3">
      <c r="A105" s="237"/>
      <c r="B105" s="114">
        <f t="shared" si="1"/>
        <v>34</v>
      </c>
      <c r="C105" s="114"/>
      <c r="D105" s="227"/>
      <c r="E105" s="306"/>
      <c r="F105" s="307"/>
      <c r="G105" s="228"/>
      <c r="H105" s="228"/>
      <c r="I105" s="228"/>
      <c r="J105" s="228"/>
      <c r="K105" s="228"/>
      <c r="L105" s="228"/>
      <c r="M105" s="229"/>
      <c r="N105" s="230"/>
      <c r="O105" s="16">
        <f t="shared" si="0"/>
        <v>0</v>
      </c>
      <c r="P105" s="16"/>
    </row>
    <row r="106" spans="1:16" hidden="1" x14ac:dyDescent="0.3">
      <c r="A106" s="237"/>
      <c r="B106" s="114">
        <f t="shared" si="1"/>
        <v>35</v>
      </c>
      <c r="C106" s="114"/>
      <c r="D106" s="227"/>
      <c r="E106" s="306"/>
      <c r="F106" s="307"/>
      <c r="G106" s="228"/>
      <c r="H106" s="228"/>
      <c r="I106" s="228"/>
      <c r="J106" s="228"/>
      <c r="K106" s="228"/>
      <c r="L106" s="228"/>
      <c r="M106" s="229"/>
      <c r="N106" s="230"/>
      <c r="O106" s="16">
        <f t="shared" si="0"/>
        <v>0</v>
      </c>
      <c r="P106" s="16"/>
    </row>
    <row r="107" spans="1:16" hidden="1" x14ac:dyDescent="0.3">
      <c r="A107" s="237"/>
      <c r="B107" s="114">
        <f t="shared" si="1"/>
        <v>36</v>
      </c>
      <c r="C107" s="114"/>
      <c r="D107" s="227"/>
      <c r="E107" s="306"/>
      <c r="F107" s="307"/>
      <c r="G107" s="228"/>
      <c r="H107" s="228"/>
      <c r="I107" s="228"/>
      <c r="J107" s="228"/>
      <c r="K107" s="228"/>
      <c r="L107" s="228"/>
      <c r="M107" s="229"/>
      <c r="N107" s="230"/>
      <c r="O107" s="16">
        <f t="shared" si="0"/>
        <v>0</v>
      </c>
      <c r="P107" s="16"/>
    </row>
    <row r="108" spans="1:16" hidden="1" x14ac:dyDescent="0.3">
      <c r="A108" s="237"/>
      <c r="B108" s="114">
        <f t="shared" si="1"/>
        <v>37</v>
      </c>
      <c r="C108" s="114"/>
      <c r="D108" s="227"/>
      <c r="E108" s="306"/>
      <c r="F108" s="307"/>
      <c r="G108" s="228"/>
      <c r="H108" s="228"/>
      <c r="I108" s="228"/>
      <c r="J108" s="228"/>
      <c r="K108" s="228"/>
      <c r="L108" s="228"/>
      <c r="M108" s="229"/>
      <c r="N108" s="230"/>
      <c r="O108" s="16">
        <f t="shared" si="0"/>
        <v>0</v>
      </c>
      <c r="P108" s="16"/>
    </row>
    <row r="109" spans="1:16" hidden="1" x14ac:dyDescent="0.3">
      <c r="A109" s="237"/>
      <c r="B109" s="114">
        <f t="shared" si="1"/>
        <v>38</v>
      </c>
      <c r="C109" s="114"/>
      <c r="D109" s="227"/>
      <c r="E109" s="306"/>
      <c r="F109" s="307"/>
      <c r="G109" s="228"/>
      <c r="H109" s="228"/>
      <c r="I109" s="228"/>
      <c r="J109" s="228"/>
      <c r="K109" s="228"/>
      <c r="L109" s="228"/>
      <c r="M109" s="229"/>
      <c r="N109" s="230"/>
      <c r="O109" s="16">
        <f t="shared" si="0"/>
        <v>0</v>
      </c>
      <c r="P109" s="16"/>
    </row>
    <row r="110" spans="1:16" hidden="1" x14ac:dyDescent="0.3">
      <c r="A110" s="237"/>
      <c r="B110" s="114">
        <f t="shared" si="1"/>
        <v>39</v>
      </c>
      <c r="C110" s="114"/>
      <c r="D110" s="227"/>
      <c r="E110" s="306"/>
      <c r="F110" s="307"/>
      <c r="G110" s="228"/>
      <c r="H110" s="228"/>
      <c r="I110" s="228"/>
      <c r="J110" s="228"/>
      <c r="K110" s="228"/>
      <c r="L110" s="228"/>
      <c r="M110" s="229"/>
      <c r="N110" s="230"/>
      <c r="O110" s="16">
        <f t="shared" si="0"/>
        <v>0</v>
      </c>
      <c r="P110" s="16"/>
    </row>
    <row r="111" spans="1:16" hidden="1" x14ac:dyDescent="0.3">
      <c r="A111" s="237"/>
      <c r="B111" s="114">
        <f t="shared" si="1"/>
        <v>40</v>
      </c>
      <c r="C111" s="114"/>
      <c r="D111" s="227"/>
      <c r="E111" s="306"/>
      <c r="F111" s="307"/>
      <c r="G111" s="228"/>
      <c r="H111" s="228"/>
      <c r="I111" s="228"/>
      <c r="J111" s="228"/>
      <c r="K111" s="228"/>
      <c r="L111" s="228"/>
      <c r="M111" s="229"/>
      <c r="N111" s="230"/>
      <c r="O111" s="16">
        <f t="shared" si="0"/>
        <v>0</v>
      </c>
      <c r="P111" s="16"/>
    </row>
    <row r="112" spans="1:16" hidden="1" x14ac:dyDescent="0.3">
      <c r="A112" s="237"/>
      <c r="B112" s="114">
        <f t="shared" si="1"/>
        <v>41</v>
      </c>
      <c r="C112" s="114"/>
      <c r="D112" s="227"/>
      <c r="E112" s="306"/>
      <c r="F112" s="307"/>
      <c r="G112" s="228"/>
      <c r="H112" s="228"/>
      <c r="I112" s="228"/>
      <c r="J112" s="228"/>
      <c r="K112" s="228"/>
      <c r="L112" s="228"/>
      <c r="M112" s="229"/>
      <c r="N112" s="230"/>
      <c r="O112" s="16">
        <f t="shared" si="0"/>
        <v>0</v>
      </c>
      <c r="P112" s="16"/>
    </row>
    <row r="113" spans="1:16" hidden="1" x14ac:dyDescent="0.3">
      <c r="A113" s="237"/>
      <c r="B113" s="114">
        <f t="shared" si="1"/>
        <v>42</v>
      </c>
      <c r="C113" s="114"/>
      <c r="D113" s="227"/>
      <c r="E113" s="306"/>
      <c r="F113" s="307"/>
      <c r="G113" s="228"/>
      <c r="H113" s="228"/>
      <c r="I113" s="228"/>
      <c r="J113" s="228"/>
      <c r="K113" s="228"/>
      <c r="L113" s="228"/>
      <c r="M113" s="229"/>
      <c r="N113" s="230"/>
      <c r="O113" s="16">
        <f t="shared" si="0"/>
        <v>0</v>
      </c>
      <c r="P113" s="16"/>
    </row>
    <row r="114" spans="1:16" hidden="1" x14ac:dyDescent="0.3">
      <c r="A114" s="237"/>
      <c r="B114" s="114">
        <f t="shared" si="1"/>
        <v>43</v>
      </c>
      <c r="C114" s="114"/>
      <c r="D114" s="227"/>
      <c r="E114" s="306"/>
      <c r="F114" s="307"/>
      <c r="G114" s="228"/>
      <c r="H114" s="228"/>
      <c r="I114" s="228"/>
      <c r="J114" s="228"/>
      <c r="K114" s="228"/>
      <c r="L114" s="228"/>
      <c r="M114" s="229"/>
      <c r="N114" s="230"/>
      <c r="O114" s="16">
        <f t="shared" si="0"/>
        <v>0</v>
      </c>
      <c r="P114" s="16"/>
    </row>
    <row r="115" spans="1:16" hidden="1" x14ac:dyDescent="0.3">
      <c r="A115" s="237"/>
      <c r="B115" s="114">
        <f t="shared" si="1"/>
        <v>44</v>
      </c>
      <c r="C115" s="114"/>
      <c r="D115" s="227"/>
      <c r="E115" s="306"/>
      <c r="F115" s="307"/>
      <c r="G115" s="228"/>
      <c r="H115" s="228"/>
      <c r="I115" s="228"/>
      <c r="J115" s="228"/>
      <c r="K115" s="228"/>
      <c r="L115" s="228"/>
      <c r="M115" s="229"/>
      <c r="N115" s="230"/>
      <c r="O115" s="16">
        <f t="shared" si="0"/>
        <v>0</v>
      </c>
      <c r="P115" s="16"/>
    </row>
    <row r="116" spans="1:16" hidden="1" x14ac:dyDescent="0.3">
      <c r="A116" s="237"/>
      <c r="B116" s="114">
        <f t="shared" si="1"/>
        <v>45</v>
      </c>
      <c r="C116" s="114"/>
      <c r="D116" s="227"/>
      <c r="E116" s="306"/>
      <c r="F116" s="307"/>
      <c r="G116" s="228"/>
      <c r="H116" s="228"/>
      <c r="I116" s="228"/>
      <c r="J116" s="228"/>
      <c r="K116" s="228"/>
      <c r="L116" s="228"/>
      <c r="M116" s="229"/>
      <c r="N116" s="230"/>
      <c r="O116" s="16">
        <f t="shared" si="0"/>
        <v>0</v>
      </c>
      <c r="P116" s="16"/>
    </row>
    <row r="117" spans="1:16" hidden="1" x14ac:dyDescent="0.3">
      <c r="A117" s="237"/>
      <c r="B117" s="114">
        <f t="shared" si="1"/>
        <v>46</v>
      </c>
      <c r="C117" s="114"/>
      <c r="D117" s="227"/>
      <c r="E117" s="306"/>
      <c r="F117" s="307"/>
      <c r="G117" s="228"/>
      <c r="H117" s="228"/>
      <c r="I117" s="228"/>
      <c r="J117" s="228"/>
      <c r="K117" s="228"/>
      <c r="L117" s="228"/>
      <c r="M117" s="229"/>
      <c r="N117" s="230"/>
      <c r="O117" s="16">
        <f t="shared" si="0"/>
        <v>0</v>
      </c>
      <c r="P117" s="16"/>
    </row>
    <row r="118" spans="1:16" hidden="1" x14ac:dyDescent="0.3">
      <c r="A118" s="237"/>
      <c r="B118" s="114">
        <f t="shared" si="1"/>
        <v>47</v>
      </c>
      <c r="C118" s="114"/>
      <c r="D118" s="227"/>
      <c r="E118" s="306"/>
      <c r="F118" s="307"/>
      <c r="G118" s="228"/>
      <c r="H118" s="228"/>
      <c r="I118" s="228"/>
      <c r="J118" s="228"/>
      <c r="K118" s="228"/>
      <c r="L118" s="228"/>
      <c r="M118" s="229"/>
      <c r="N118" s="230"/>
      <c r="O118" s="16">
        <f t="shared" si="0"/>
        <v>0</v>
      </c>
      <c r="P118" s="16"/>
    </row>
    <row r="119" spans="1:16" hidden="1" x14ac:dyDescent="0.3">
      <c r="A119" s="237"/>
      <c r="B119" s="114">
        <f t="shared" si="1"/>
        <v>48</v>
      </c>
      <c r="C119" s="114"/>
      <c r="D119" s="227"/>
      <c r="E119" s="306"/>
      <c r="F119" s="307"/>
      <c r="G119" s="228"/>
      <c r="H119" s="228"/>
      <c r="I119" s="228"/>
      <c r="J119" s="228"/>
      <c r="K119" s="228"/>
      <c r="L119" s="228"/>
      <c r="M119" s="229"/>
      <c r="N119" s="230"/>
      <c r="O119" s="16">
        <f t="shared" si="0"/>
        <v>0</v>
      </c>
      <c r="P119" s="16"/>
    </row>
    <row r="120" spans="1:16" hidden="1" x14ac:dyDescent="0.3">
      <c r="A120" s="237"/>
      <c r="B120" s="114">
        <f t="shared" si="1"/>
        <v>49</v>
      </c>
      <c r="C120" s="114"/>
      <c r="D120" s="227"/>
      <c r="E120" s="306"/>
      <c r="F120" s="307"/>
      <c r="G120" s="228"/>
      <c r="H120" s="228"/>
      <c r="I120" s="228"/>
      <c r="J120" s="228"/>
      <c r="K120" s="228"/>
      <c r="L120" s="228"/>
      <c r="M120" s="229"/>
      <c r="N120" s="230"/>
      <c r="O120" s="16">
        <f t="shared" si="0"/>
        <v>0</v>
      </c>
      <c r="P120" s="16"/>
    </row>
    <row r="121" spans="1:16" hidden="1" x14ac:dyDescent="0.3">
      <c r="A121" s="237"/>
      <c r="B121" s="114">
        <f t="shared" si="1"/>
        <v>50</v>
      </c>
      <c r="C121" s="114"/>
      <c r="D121" s="227"/>
      <c r="E121" s="306"/>
      <c r="F121" s="307"/>
      <c r="G121" s="228"/>
      <c r="H121" s="228"/>
      <c r="I121" s="228"/>
      <c r="J121" s="228"/>
      <c r="K121" s="228"/>
      <c r="L121" s="228"/>
      <c r="M121" s="229"/>
      <c r="N121" s="230"/>
      <c r="O121" s="16">
        <f t="shared" si="0"/>
        <v>0</v>
      </c>
      <c r="P121" s="16"/>
    </row>
    <row r="122" spans="1:16" hidden="1" x14ac:dyDescent="0.3">
      <c r="A122" s="237"/>
      <c r="B122" s="114">
        <f t="shared" si="1"/>
        <v>51</v>
      </c>
      <c r="C122" s="114"/>
      <c r="D122" s="227"/>
      <c r="E122" s="306"/>
      <c r="F122" s="307"/>
      <c r="G122" s="228"/>
      <c r="H122" s="228"/>
      <c r="I122" s="228"/>
      <c r="J122" s="228"/>
      <c r="K122" s="228"/>
      <c r="L122" s="228"/>
      <c r="M122" s="229"/>
      <c r="N122" s="230"/>
      <c r="O122" s="16">
        <f t="shared" si="0"/>
        <v>0</v>
      </c>
      <c r="P122" s="16"/>
    </row>
    <row r="123" spans="1:16" hidden="1" x14ac:dyDescent="0.3">
      <c r="A123" s="237"/>
      <c r="B123" s="114">
        <f t="shared" si="1"/>
        <v>52</v>
      </c>
      <c r="C123" s="114"/>
      <c r="D123" s="227"/>
      <c r="E123" s="306"/>
      <c r="F123" s="307"/>
      <c r="G123" s="228"/>
      <c r="H123" s="228"/>
      <c r="I123" s="228"/>
      <c r="J123" s="228"/>
      <c r="K123" s="228"/>
      <c r="L123" s="228"/>
      <c r="M123" s="229"/>
      <c r="N123" s="230"/>
      <c r="O123" s="16">
        <f t="shared" si="0"/>
        <v>0</v>
      </c>
      <c r="P123" s="16"/>
    </row>
    <row r="124" spans="1:16" hidden="1" x14ac:dyDescent="0.3">
      <c r="A124" s="237"/>
      <c r="B124" s="114">
        <f t="shared" si="1"/>
        <v>53</v>
      </c>
      <c r="C124" s="114"/>
      <c r="D124" s="227"/>
      <c r="E124" s="306"/>
      <c r="F124" s="307"/>
      <c r="G124" s="228"/>
      <c r="H124" s="228"/>
      <c r="I124" s="228"/>
      <c r="J124" s="228"/>
      <c r="K124" s="228"/>
      <c r="L124" s="228"/>
      <c r="M124" s="229"/>
      <c r="N124" s="230"/>
      <c r="O124" s="16">
        <f t="shared" si="0"/>
        <v>0</v>
      </c>
      <c r="P124" s="16"/>
    </row>
    <row r="125" spans="1:16" hidden="1" x14ac:dyDescent="0.3">
      <c r="A125" s="237"/>
      <c r="B125" s="114">
        <f t="shared" si="1"/>
        <v>54</v>
      </c>
      <c r="C125" s="114"/>
      <c r="D125" s="227"/>
      <c r="E125" s="306"/>
      <c r="F125" s="307"/>
      <c r="G125" s="228"/>
      <c r="H125" s="228"/>
      <c r="I125" s="228"/>
      <c r="J125" s="228"/>
      <c r="K125" s="228"/>
      <c r="L125" s="228"/>
      <c r="M125" s="229"/>
      <c r="N125" s="230"/>
      <c r="O125" s="16">
        <f t="shared" si="0"/>
        <v>0</v>
      </c>
      <c r="P125" s="16"/>
    </row>
    <row r="126" spans="1:16" hidden="1" x14ac:dyDescent="0.3">
      <c r="A126" s="237"/>
      <c r="B126" s="114">
        <f t="shared" si="1"/>
        <v>55</v>
      </c>
      <c r="C126" s="114"/>
      <c r="D126" s="227"/>
      <c r="E126" s="306"/>
      <c r="F126" s="307"/>
      <c r="G126" s="228"/>
      <c r="H126" s="228"/>
      <c r="I126" s="228"/>
      <c r="J126" s="228"/>
      <c r="K126" s="228"/>
      <c r="L126" s="228"/>
      <c r="M126" s="229"/>
      <c r="N126" s="230"/>
      <c r="O126" s="16">
        <f t="shared" si="0"/>
        <v>0</v>
      </c>
      <c r="P126" s="16"/>
    </row>
    <row r="127" spans="1:16" hidden="1" x14ac:dyDescent="0.3">
      <c r="A127" s="237"/>
      <c r="B127" s="114">
        <f t="shared" si="1"/>
        <v>56</v>
      </c>
      <c r="C127" s="114"/>
      <c r="D127" s="227"/>
      <c r="E127" s="306"/>
      <c r="F127" s="307"/>
      <c r="G127" s="228"/>
      <c r="H127" s="228"/>
      <c r="I127" s="228"/>
      <c r="J127" s="228"/>
      <c r="K127" s="228"/>
      <c r="L127" s="228"/>
      <c r="M127" s="229"/>
      <c r="N127" s="230"/>
      <c r="O127" s="16">
        <f t="shared" si="0"/>
        <v>0</v>
      </c>
      <c r="P127" s="16"/>
    </row>
    <row r="128" spans="1:16" hidden="1" x14ac:dyDescent="0.3">
      <c r="A128" s="237"/>
      <c r="B128" s="114">
        <f t="shared" si="1"/>
        <v>57</v>
      </c>
      <c r="C128" s="114"/>
      <c r="D128" s="227"/>
      <c r="E128" s="306"/>
      <c r="F128" s="307"/>
      <c r="G128" s="228"/>
      <c r="H128" s="228"/>
      <c r="I128" s="228"/>
      <c r="J128" s="228"/>
      <c r="K128" s="228"/>
      <c r="L128" s="228"/>
      <c r="M128" s="229"/>
      <c r="N128" s="230"/>
      <c r="O128" s="16">
        <f t="shared" si="0"/>
        <v>0</v>
      </c>
      <c r="P128" s="16"/>
    </row>
    <row r="129" spans="1:16" hidden="1" x14ac:dyDescent="0.3">
      <c r="A129" s="237"/>
      <c r="B129" s="114">
        <f t="shared" si="1"/>
        <v>58</v>
      </c>
      <c r="C129" s="114"/>
      <c r="D129" s="227"/>
      <c r="E129" s="306"/>
      <c r="F129" s="307"/>
      <c r="G129" s="228"/>
      <c r="H129" s="228"/>
      <c r="I129" s="228"/>
      <c r="J129" s="228"/>
      <c r="K129" s="228"/>
      <c r="L129" s="228"/>
      <c r="M129" s="229"/>
      <c r="N129" s="230"/>
      <c r="O129" s="16">
        <f t="shared" si="0"/>
        <v>0</v>
      </c>
      <c r="P129" s="16"/>
    </row>
    <row r="130" spans="1:16" hidden="1" x14ac:dyDescent="0.3">
      <c r="A130" s="237"/>
      <c r="B130" s="114">
        <f t="shared" si="1"/>
        <v>59</v>
      </c>
      <c r="C130" s="114"/>
      <c r="D130" s="227"/>
      <c r="E130" s="306"/>
      <c r="F130" s="307"/>
      <c r="G130" s="228"/>
      <c r="H130" s="228"/>
      <c r="I130" s="228"/>
      <c r="J130" s="228"/>
      <c r="K130" s="228"/>
      <c r="L130" s="228"/>
      <c r="M130" s="229"/>
      <c r="N130" s="230"/>
      <c r="O130" s="16">
        <f t="shared" si="0"/>
        <v>0</v>
      </c>
      <c r="P130" s="16"/>
    </row>
    <row r="131" spans="1:16" hidden="1" x14ac:dyDescent="0.3">
      <c r="A131" s="237"/>
      <c r="B131" s="114">
        <f t="shared" si="1"/>
        <v>60</v>
      </c>
      <c r="C131" s="114"/>
      <c r="D131" s="227"/>
      <c r="E131" s="306"/>
      <c r="F131" s="307"/>
      <c r="G131" s="228"/>
      <c r="H131" s="228"/>
      <c r="I131" s="228"/>
      <c r="J131" s="228"/>
      <c r="K131" s="228"/>
      <c r="L131" s="228"/>
      <c r="M131" s="229"/>
      <c r="N131" s="230"/>
      <c r="O131" s="16">
        <f t="shared" si="0"/>
        <v>0</v>
      </c>
      <c r="P131" s="16"/>
    </row>
    <row r="132" spans="1:16" hidden="1" x14ac:dyDescent="0.3">
      <c r="A132" s="237"/>
      <c r="B132" s="114">
        <f t="shared" si="1"/>
        <v>61</v>
      </c>
      <c r="C132" s="114"/>
      <c r="D132" s="227"/>
      <c r="E132" s="306"/>
      <c r="F132" s="307"/>
      <c r="G132" s="228"/>
      <c r="H132" s="228"/>
      <c r="I132" s="228"/>
      <c r="J132" s="228"/>
      <c r="K132" s="228"/>
      <c r="L132" s="228"/>
      <c r="M132" s="229"/>
      <c r="N132" s="230"/>
      <c r="O132" s="16">
        <f t="shared" si="0"/>
        <v>0</v>
      </c>
      <c r="P132" s="16"/>
    </row>
    <row r="133" spans="1:16" hidden="1" x14ac:dyDescent="0.3">
      <c r="A133" s="237"/>
      <c r="B133" s="114">
        <f t="shared" si="1"/>
        <v>62</v>
      </c>
      <c r="C133" s="114"/>
      <c r="D133" s="227"/>
      <c r="E133" s="306"/>
      <c r="F133" s="307"/>
      <c r="G133" s="228"/>
      <c r="H133" s="228"/>
      <c r="I133" s="228"/>
      <c r="J133" s="228"/>
      <c r="K133" s="228"/>
      <c r="L133" s="228"/>
      <c r="M133" s="229"/>
      <c r="N133" s="230"/>
      <c r="O133" s="16">
        <f t="shared" si="0"/>
        <v>0</v>
      </c>
      <c r="P133" s="16"/>
    </row>
    <row r="134" spans="1:16" hidden="1" x14ac:dyDescent="0.3">
      <c r="A134" s="237"/>
      <c r="B134" s="114">
        <f t="shared" si="1"/>
        <v>63</v>
      </c>
      <c r="C134" s="114"/>
      <c r="D134" s="227"/>
      <c r="E134" s="306"/>
      <c r="F134" s="307"/>
      <c r="G134" s="228"/>
      <c r="H134" s="228"/>
      <c r="I134" s="228"/>
      <c r="J134" s="228"/>
      <c r="K134" s="228"/>
      <c r="L134" s="228"/>
      <c r="M134" s="229"/>
      <c r="N134" s="230"/>
      <c r="O134" s="16">
        <f t="shared" si="0"/>
        <v>0</v>
      </c>
      <c r="P134" s="16"/>
    </row>
    <row r="135" spans="1:16" hidden="1" x14ac:dyDescent="0.3">
      <c r="A135" s="237"/>
      <c r="B135" s="114">
        <f t="shared" si="1"/>
        <v>64</v>
      </c>
      <c r="C135" s="114"/>
      <c r="D135" s="227"/>
      <c r="E135" s="306"/>
      <c r="F135" s="307"/>
      <c r="G135" s="228"/>
      <c r="H135" s="228"/>
      <c r="I135" s="228"/>
      <c r="J135" s="228"/>
      <c r="K135" s="228"/>
      <c r="L135" s="228"/>
      <c r="M135" s="229"/>
      <c r="N135" s="230"/>
      <c r="O135" s="16">
        <f t="shared" si="0"/>
        <v>0</v>
      </c>
      <c r="P135" s="16"/>
    </row>
    <row r="136" spans="1:16" hidden="1" x14ac:dyDescent="0.3">
      <c r="A136" s="237"/>
      <c r="B136" s="114">
        <f t="shared" si="1"/>
        <v>65</v>
      </c>
      <c r="C136" s="114"/>
      <c r="D136" s="227"/>
      <c r="E136" s="306"/>
      <c r="F136" s="307"/>
      <c r="G136" s="228"/>
      <c r="H136" s="228"/>
      <c r="I136" s="228"/>
      <c r="J136" s="228"/>
      <c r="K136" s="228"/>
      <c r="L136" s="228"/>
      <c r="M136" s="229"/>
      <c r="N136" s="230"/>
      <c r="O136" s="16">
        <f t="shared" si="0"/>
        <v>0</v>
      </c>
      <c r="P136" s="16"/>
    </row>
    <row r="137" spans="1:16" hidden="1" x14ac:dyDescent="0.3">
      <c r="A137" s="237"/>
      <c r="B137" s="114">
        <f t="shared" si="1"/>
        <v>66</v>
      </c>
      <c r="C137" s="114"/>
      <c r="D137" s="227"/>
      <c r="E137" s="306"/>
      <c r="F137" s="307"/>
      <c r="G137" s="228"/>
      <c r="H137" s="228"/>
      <c r="I137" s="228"/>
      <c r="J137" s="228"/>
      <c r="K137" s="228"/>
      <c r="L137" s="228"/>
      <c r="M137" s="229"/>
      <c r="N137" s="230"/>
      <c r="O137" s="16">
        <f t="shared" ref="O137:O170" si="2">N137*D137</f>
        <v>0</v>
      </c>
      <c r="P137" s="16"/>
    </row>
    <row r="138" spans="1:16" hidden="1" x14ac:dyDescent="0.3">
      <c r="A138" s="237"/>
      <c r="B138" s="114">
        <f t="shared" si="1"/>
        <v>67</v>
      </c>
      <c r="C138" s="114"/>
      <c r="D138" s="227"/>
      <c r="E138" s="306"/>
      <c r="F138" s="307"/>
      <c r="G138" s="228"/>
      <c r="H138" s="228"/>
      <c r="I138" s="228"/>
      <c r="J138" s="228"/>
      <c r="K138" s="228"/>
      <c r="L138" s="228"/>
      <c r="M138" s="229"/>
      <c r="N138" s="230"/>
      <c r="O138" s="16">
        <f t="shared" si="2"/>
        <v>0</v>
      </c>
      <c r="P138" s="16"/>
    </row>
    <row r="139" spans="1:16" hidden="1" x14ac:dyDescent="0.3">
      <c r="A139" s="237"/>
      <c r="B139" s="114">
        <f t="shared" si="1"/>
        <v>68</v>
      </c>
      <c r="C139" s="114"/>
      <c r="D139" s="227"/>
      <c r="E139" s="306"/>
      <c r="F139" s="307"/>
      <c r="G139" s="228"/>
      <c r="H139" s="228"/>
      <c r="I139" s="228"/>
      <c r="J139" s="228"/>
      <c r="K139" s="228"/>
      <c r="L139" s="228"/>
      <c r="M139" s="229"/>
      <c r="N139" s="230"/>
      <c r="O139" s="16">
        <f t="shared" si="2"/>
        <v>0</v>
      </c>
      <c r="P139" s="16"/>
    </row>
    <row r="140" spans="1:16" hidden="1" x14ac:dyDescent="0.3">
      <c r="A140" s="237"/>
      <c r="B140" s="114">
        <f t="shared" si="1"/>
        <v>69</v>
      </c>
      <c r="C140" s="114"/>
      <c r="D140" s="227"/>
      <c r="E140" s="306"/>
      <c r="F140" s="307"/>
      <c r="G140" s="228"/>
      <c r="H140" s="228"/>
      <c r="I140" s="228"/>
      <c r="J140" s="228"/>
      <c r="K140" s="228"/>
      <c r="L140" s="228"/>
      <c r="M140" s="229"/>
      <c r="N140" s="230"/>
      <c r="O140" s="16">
        <f t="shared" si="2"/>
        <v>0</v>
      </c>
      <c r="P140" s="16"/>
    </row>
    <row r="141" spans="1:16" hidden="1" x14ac:dyDescent="0.3">
      <c r="A141" s="237"/>
      <c r="B141" s="114">
        <f t="shared" si="1"/>
        <v>70</v>
      </c>
      <c r="C141" s="114"/>
      <c r="D141" s="227"/>
      <c r="E141" s="306"/>
      <c r="F141" s="307"/>
      <c r="G141" s="228"/>
      <c r="H141" s="228"/>
      <c r="I141" s="228"/>
      <c r="J141" s="228"/>
      <c r="K141" s="228"/>
      <c r="L141" s="228"/>
      <c r="M141" s="229"/>
      <c r="N141" s="230"/>
      <c r="O141" s="16">
        <f t="shared" si="2"/>
        <v>0</v>
      </c>
      <c r="P141" s="16"/>
    </row>
    <row r="142" spans="1:16" hidden="1" x14ac:dyDescent="0.3">
      <c r="A142" s="237"/>
      <c r="B142" s="114">
        <f t="shared" si="1"/>
        <v>71</v>
      </c>
      <c r="C142" s="114"/>
      <c r="D142" s="227"/>
      <c r="E142" s="306"/>
      <c r="F142" s="307"/>
      <c r="G142" s="228"/>
      <c r="H142" s="228"/>
      <c r="I142" s="228"/>
      <c r="J142" s="228"/>
      <c r="K142" s="228"/>
      <c r="L142" s="228"/>
      <c r="M142" s="229"/>
      <c r="N142" s="230"/>
      <c r="O142" s="16">
        <f t="shared" si="2"/>
        <v>0</v>
      </c>
      <c r="P142" s="16"/>
    </row>
    <row r="143" spans="1:16" hidden="1" x14ac:dyDescent="0.3">
      <c r="A143" s="237"/>
      <c r="B143" s="114">
        <f t="shared" si="1"/>
        <v>72</v>
      </c>
      <c r="C143" s="114"/>
      <c r="D143" s="227"/>
      <c r="E143" s="306"/>
      <c r="F143" s="307"/>
      <c r="G143" s="228"/>
      <c r="H143" s="228"/>
      <c r="I143" s="228"/>
      <c r="J143" s="228"/>
      <c r="K143" s="228"/>
      <c r="L143" s="228"/>
      <c r="M143" s="229"/>
      <c r="N143" s="230"/>
      <c r="O143" s="16">
        <f t="shared" si="2"/>
        <v>0</v>
      </c>
      <c r="P143" s="16"/>
    </row>
    <row r="144" spans="1:16" hidden="1" x14ac:dyDescent="0.3">
      <c r="A144" s="237"/>
      <c r="B144" s="114">
        <f t="shared" si="1"/>
        <v>73</v>
      </c>
      <c r="C144" s="114"/>
      <c r="D144" s="227"/>
      <c r="E144" s="306"/>
      <c r="F144" s="307"/>
      <c r="G144" s="228"/>
      <c r="H144" s="228"/>
      <c r="I144" s="228"/>
      <c r="J144" s="228"/>
      <c r="K144" s="228"/>
      <c r="L144" s="228"/>
      <c r="M144" s="229"/>
      <c r="N144" s="230"/>
      <c r="O144" s="16">
        <f t="shared" si="2"/>
        <v>0</v>
      </c>
      <c r="P144" s="16"/>
    </row>
    <row r="145" spans="1:16" hidden="1" x14ac:dyDescent="0.3">
      <c r="A145" s="237"/>
      <c r="B145" s="114">
        <f t="shared" si="1"/>
        <v>74</v>
      </c>
      <c r="C145" s="114"/>
      <c r="D145" s="227"/>
      <c r="E145" s="306"/>
      <c r="F145" s="307"/>
      <c r="G145" s="228"/>
      <c r="H145" s="228"/>
      <c r="I145" s="228"/>
      <c r="J145" s="228"/>
      <c r="K145" s="228"/>
      <c r="L145" s="228"/>
      <c r="M145" s="229"/>
      <c r="N145" s="230"/>
      <c r="O145" s="16">
        <f t="shared" si="2"/>
        <v>0</v>
      </c>
      <c r="P145" s="16"/>
    </row>
    <row r="146" spans="1:16" hidden="1" x14ac:dyDescent="0.3">
      <c r="A146" s="237"/>
      <c r="B146" s="114">
        <f t="shared" si="1"/>
        <v>75</v>
      </c>
      <c r="C146" s="114"/>
      <c r="D146" s="227"/>
      <c r="E146" s="306"/>
      <c r="F146" s="307"/>
      <c r="G146" s="228"/>
      <c r="H146" s="228"/>
      <c r="I146" s="228"/>
      <c r="J146" s="228"/>
      <c r="K146" s="228"/>
      <c r="L146" s="228"/>
      <c r="M146" s="229"/>
      <c r="N146" s="230"/>
      <c r="O146" s="16">
        <f t="shared" si="2"/>
        <v>0</v>
      </c>
      <c r="P146" s="16"/>
    </row>
    <row r="147" spans="1:16" hidden="1" x14ac:dyDescent="0.3">
      <c r="A147" s="237"/>
      <c r="B147" s="114">
        <f t="shared" si="1"/>
        <v>76</v>
      </c>
      <c r="C147" s="114"/>
      <c r="D147" s="227"/>
      <c r="E147" s="306"/>
      <c r="F147" s="307"/>
      <c r="G147" s="228"/>
      <c r="H147" s="228"/>
      <c r="I147" s="228"/>
      <c r="J147" s="228"/>
      <c r="K147" s="228"/>
      <c r="L147" s="228"/>
      <c r="M147" s="229"/>
      <c r="N147" s="230"/>
      <c r="O147" s="16">
        <f t="shared" si="2"/>
        <v>0</v>
      </c>
      <c r="P147" s="16"/>
    </row>
    <row r="148" spans="1:16" hidden="1" x14ac:dyDescent="0.3">
      <c r="A148" s="237"/>
      <c r="B148" s="114">
        <f t="shared" si="1"/>
        <v>77</v>
      </c>
      <c r="C148" s="114"/>
      <c r="D148" s="227"/>
      <c r="E148" s="306"/>
      <c r="F148" s="307"/>
      <c r="G148" s="228"/>
      <c r="H148" s="228"/>
      <c r="I148" s="228"/>
      <c r="J148" s="228"/>
      <c r="K148" s="228"/>
      <c r="L148" s="228"/>
      <c r="M148" s="229"/>
      <c r="N148" s="230"/>
      <c r="O148" s="16">
        <f t="shared" si="2"/>
        <v>0</v>
      </c>
      <c r="P148" s="16"/>
    </row>
    <row r="149" spans="1:16" hidden="1" x14ac:dyDescent="0.3">
      <c r="A149" s="237"/>
      <c r="B149" s="114">
        <f t="shared" si="1"/>
        <v>78</v>
      </c>
      <c r="C149" s="114"/>
      <c r="D149" s="227"/>
      <c r="E149" s="306"/>
      <c r="F149" s="307"/>
      <c r="G149" s="228"/>
      <c r="H149" s="228"/>
      <c r="I149" s="228"/>
      <c r="J149" s="228"/>
      <c r="K149" s="228"/>
      <c r="L149" s="228"/>
      <c r="M149" s="229"/>
      <c r="N149" s="230"/>
      <c r="O149" s="16">
        <f t="shared" si="2"/>
        <v>0</v>
      </c>
      <c r="P149" s="16"/>
    </row>
    <row r="150" spans="1:16" hidden="1" x14ac:dyDescent="0.3">
      <c r="A150" s="237"/>
      <c r="B150" s="114">
        <f t="shared" si="1"/>
        <v>79</v>
      </c>
      <c r="C150" s="114"/>
      <c r="D150" s="227"/>
      <c r="E150" s="306"/>
      <c r="F150" s="307"/>
      <c r="G150" s="228"/>
      <c r="H150" s="228"/>
      <c r="I150" s="228"/>
      <c r="J150" s="228"/>
      <c r="K150" s="228"/>
      <c r="L150" s="228"/>
      <c r="M150" s="229"/>
      <c r="N150" s="230"/>
      <c r="O150" s="16">
        <f t="shared" si="2"/>
        <v>0</v>
      </c>
      <c r="P150" s="16"/>
    </row>
    <row r="151" spans="1:16" hidden="1" x14ac:dyDescent="0.3">
      <c r="A151" s="237"/>
      <c r="B151" s="114">
        <f t="shared" si="1"/>
        <v>80</v>
      </c>
      <c r="C151" s="114"/>
      <c r="D151" s="227"/>
      <c r="E151" s="306"/>
      <c r="F151" s="307"/>
      <c r="G151" s="228"/>
      <c r="H151" s="228"/>
      <c r="I151" s="228"/>
      <c r="J151" s="228"/>
      <c r="K151" s="228"/>
      <c r="L151" s="228"/>
      <c r="M151" s="229"/>
      <c r="N151" s="230"/>
      <c r="O151" s="16">
        <f t="shared" si="2"/>
        <v>0</v>
      </c>
      <c r="P151" s="16"/>
    </row>
    <row r="152" spans="1:16" hidden="1" x14ac:dyDescent="0.3">
      <c r="A152" s="237"/>
      <c r="B152" s="114">
        <f t="shared" si="1"/>
        <v>81</v>
      </c>
      <c r="C152" s="114"/>
      <c r="D152" s="227"/>
      <c r="E152" s="306"/>
      <c r="F152" s="307"/>
      <c r="G152" s="228"/>
      <c r="H152" s="228"/>
      <c r="I152" s="228"/>
      <c r="J152" s="228"/>
      <c r="K152" s="228"/>
      <c r="L152" s="228"/>
      <c r="M152" s="229"/>
      <c r="N152" s="230"/>
      <c r="O152" s="16">
        <f t="shared" si="2"/>
        <v>0</v>
      </c>
      <c r="P152" s="16"/>
    </row>
    <row r="153" spans="1:16" hidden="1" x14ac:dyDescent="0.3">
      <c r="A153" s="237"/>
      <c r="B153" s="114">
        <f t="shared" si="1"/>
        <v>82</v>
      </c>
      <c r="C153" s="114"/>
      <c r="D153" s="227"/>
      <c r="E153" s="306"/>
      <c r="F153" s="307"/>
      <c r="G153" s="228"/>
      <c r="H153" s="228"/>
      <c r="I153" s="228"/>
      <c r="J153" s="228"/>
      <c r="K153" s="228"/>
      <c r="L153" s="228"/>
      <c r="M153" s="229"/>
      <c r="N153" s="230"/>
      <c r="O153" s="16">
        <f t="shared" si="2"/>
        <v>0</v>
      </c>
      <c r="P153" s="16"/>
    </row>
    <row r="154" spans="1:16" hidden="1" x14ac:dyDescent="0.3">
      <c r="A154" s="237"/>
      <c r="B154" s="114">
        <f t="shared" si="1"/>
        <v>83</v>
      </c>
      <c r="C154" s="114"/>
      <c r="D154" s="227"/>
      <c r="E154" s="306"/>
      <c r="F154" s="307"/>
      <c r="G154" s="228"/>
      <c r="H154" s="228"/>
      <c r="I154" s="228"/>
      <c r="J154" s="228"/>
      <c r="K154" s="228"/>
      <c r="L154" s="228"/>
      <c r="M154" s="229"/>
      <c r="N154" s="230"/>
      <c r="O154" s="16">
        <f t="shared" si="2"/>
        <v>0</v>
      </c>
      <c r="P154" s="16"/>
    </row>
    <row r="155" spans="1:16" hidden="1" x14ac:dyDescent="0.3">
      <c r="A155" s="237"/>
      <c r="B155" s="114">
        <f t="shared" si="1"/>
        <v>84</v>
      </c>
      <c r="C155" s="114"/>
      <c r="D155" s="227"/>
      <c r="E155" s="306"/>
      <c r="F155" s="307"/>
      <c r="G155" s="228"/>
      <c r="H155" s="228"/>
      <c r="I155" s="228"/>
      <c r="J155" s="228"/>
      <c r="K155" s="228"/>
      <c r="L155" s="228"/>
      <c r="M155" s="229"/>
      <c r="N155" s="230"/>
      <c r="O155" s="16">
        <f t="shared" si="2"/>
        <v>0</v>
      </c>
      <c r="P155" s="16"/>
    </row>
    <row r="156" spans="1:16" hidden="1" x14ac:dyDescent="0.3">
      <c r="A156" s="237"/>
      <c r="B156" s="114">
        <f t="shared" si="1"/>
        <v>85</v>
      </c>
      <c r="C156" s="114"/>
      <c r="D156" s="227"/>
      <c r="E156" s="306"/>
      <c r="F156" s="307"/>
      <c r="G156" s="228"/>
      <c r="H156" s="228"/>
      <c r="I156" s="228"/>
      <c r="J156" s="228"/>
      <c r="K156" s="228"/>
      <c r="L156" s="228"/>
      <c r="M156" s="229"/>
      <c r="N156" s="230"/>
      <c r="O156" s="16">
        <f t="shared" si="2"/>
        <v>0</v>
      </c>
      <c r="P156" s="16"/>
    </row>
    <row r="157" spans="1:16" hidden="1" x14ac:dyDescent="0.3">
      <c r="A157" s="237"/>
      <c r="B157" s="114">
        <f t="shared" si="1"/>
        <v>86</v>
      </c>
      <c r="C157" s="114"/>
      <c r="D157" s="227"/>
      <c r="E157" s="306"/>
      <c r="F157" s="307"/>
      <c r="G157" s="228"/>
      <c r="H157" s="228"/>
      <c r="I157" s="228"/>
      <c r="J157" s="228"/>
      <c r="K157" s="228"/>
      <c r="L157" s="228"/>
      <c r="M157" s="229"/>
      <c r="N157" s="230"/>
      <c r="O157" s="16">
        <f t="shared" si="2"/>
        <v>0</v>
      </c>
      <c r="P157" s="16"/>
    </row>
    <row r="158" spans="1:16" hidden="1" x14ac:dyDescent="0.3">
      <c r="A158" s="237"/>
      <c r="B158" s="114">
        <f t="shared" si="1"/>
        <v>87</v>
      </c>
      <c r="C158" s="114"/>
      <c r="D158" s="227"/>
      <c r="E158" s="306"/>
      <c r="F158" s="307"/>
      <c r="G158" s="228"/>
      <c r="H158" s="228"/>
      <c r="I158" s="228"/>
      <c r="J158" s="228"/>
      <c r="K158" s="228"/>
      <c r="L158" s="228"/>
      <c r="M158" s="229"/>
      <c r="N158" s="230"/>
      <c r="O158" s="16">
        <f t="shared" si="2"/>
        <v>0</v>
      </c>
      <c r="P158" s="16"/>
    </row>
    <row r="159" spans="1:16" hidden="1" x14ac:dyDescent="0.3">
      <c r="A159" s="237"/>
      <c r="B159" s="114">
        <f t="shared" si="1"/>
        <v>88</v>
      </c>
      <c r="C159" s="114"/>
      <c r="D159" s="227"/>
      <c r="E159" s="306"/>
      <c r="F159" s="307"/>
      <c r="G159" s="228"/>
      <c r="H159" s="228"/>
      <c r="I159" s="228"/>
      <c r="J159" s="228"/>
      <c r="K159" s="228"/>
      <c r="L159" s="228"/>
      <c r="M159" s="229"/>
      <c r="N159" s="230"/>
      <c r="O159" s="16">
        <f t="shared" si="2"/>
        <v>0</v>
      </c>
      <c r="P159" s="16"/>
    </row>
    <row r="160" spans="1:16" hidden="1" x14ac:dyDescent="0.3">
      <c r="A160" s="237"/>
      <c r="B160" s="114">
        <f t="shared" si="1"/>
        <v>89</v>
      </c>
      <c r="C160" s="114"/>
      <c r="D160" s="227"/>
      <c r="E160" s="306"/>
      <c r="F160" s="307"/>
      <c r="G160" s="228"/>
      <c r="H160" s="228"/>
      <c r="I160" s="228"/>
      <c r="J160" s="228"/>
      <c r="K160" s="228"/>
      <c r="L160" s="228"/>
      <c r="M160" s="229"/>
      <c r="N160" s="230"/>
      <c r="O160" s="16">
        <f t="shared" si="2"/>
        <v>0</v>
      </c>
      <c r="P160" s="16"/>
    </row>
    <row r="161" spans="1:16" hidden="1" x14ac:dyDescent="0.3">
      <c r="A161" s="237"/>
      <c r="B161" s="114">
        <f t="shared" si="1"/>
        <v>90</v>
      </c>
      <c r="C161" s="114"/>
      <c r="D161" s="227"/>
      <c r="E161" s="306"/>
      <c r="F161" s="307"/>
      <c r="G161" s="228"/>
      <c r="H161" s="228"/>
      <c r="I161" s="228"/>
      <c r="J161" s="228"/>
      <c r="K161" s="228"/>
      <c r="L161" s="228"/>
      <c r="M161" s="229"/>
      <c r="N161" s="230"/>
      <c r="O161" s="16">
        <f t="shared" si="2"/>
        <v>0</v>
      </c>
      <c r="P161" s="16"/>
    </row>
    <row r="162" spans="1:16" hidden="1" x14ac:dyDescent="0.3">
      <c r="A162" s="237"/>
      <c r="B162" s="114">
        <f t="shared" si="1"/>
        <v>91</v>
      </c>
      <c r="C162" s="114"/>
      <c r="D162" s="227"/>
      <c r="E162" s="306"/>
      <c r="F162" s="307"/>
      <c r="G162" s="228"/>
      <c r="H162" s="228"/>
      <c r="I162" s="228"/>
      <c r="J162" s="228"/>
      <c r="K162" s="228"/>
      <c r="L162" s="228"/>
      <c r="M162" s="229"/>
      <c r="N162" s="230"/>
      <c r="O162" s="16">
        <f t="shared" si="2"/>
        <v>0</v>
      </c>
      <c r="P162" s="16"/>
    </row>
    <row r="163" spans="1:16" hidden="1" x14ac:dyDescent="0.3">
      <c r="A163" s="237"/>
      <c r="B163" s="114">
        <f t="shared" si="1"/>
        <v>92</v>
      </c>
      <c r="C163" s="114"/>
      <c r="D163" s="227"/>
      <c r="E163" s="306"/>
      <c r="F163" s="307"/>
      <c r="G163" s="228"/>
      <c r="H163" s="228"/>
      <c r="I163" s="228"/>
      <c r="J163" s="228"/>
      <c r="K163" s="228"/>
      <c r="L163" s="228"/>
      <c r="M163" s="229"/>
      <c r="N163" s="230"/>
      <c r="O163" s="16">
        <f t="shared" si="2"/>
        <v>0</v>
      </c>
      <c r="P163" s="16"/>
    </row>
    <row r="164" spans="1:16" hidden="1" x14ac:dyDescent="0.3">
      <c r="A164" s="237"/>
      <c r="B164" s="114">
        <f t="shared" si="1"/>
        <v>93</v>
      </c>
      <c r="C164" s="114"/>
      <c r="D164" s="227"/>
      <c r="E164" s="306"/>
      <c r="F164" s="307"/>
      <c r="G164" s="228"/>
      <c r="H164" s="228"/>
      <c r="I164" s="228"/>
      <c r="J164" s="228"/>
      <c r="K164" s="228"/>
      <c r="L164" s="228"/>
      <c r="M164" s="229"/>
      <c r="N164" s="230"/>
      <c r="O164" s="16">
        <f t="shared" si="2"/>
        <v>0</v>
      </c>
      <c r="P164" s="16"/>
    </row>
    <row r="165" spans="1:16" hidden="1" x14ac:dyDescent="0.3">
      <c r="A165" s="237"/>
      <c r="B165" s="114">
        <f t="shared" si="1"/>
        <v>94</v>
      </c>
      <c r="C165" s="114"/>
      <c r="D165" s="227"/>
      <c r="E165" s="306"/>
      <c r="F165" s="307"/>
      <c r="G165" s="228"/>
      <c r="H165" s="228"/>
      <c r="I165" s="228"/>
      <c r="J165" s="228"/>
      <c r="K165" s="228"/>
      <c r="L165" s="228"/>
      <c r="M165" s="229"/>
      <c r="N165" s="230"/>
      <c r="O165" s="16">
        <f t="shared" si="2"/>
        <v>0</v>
      </c>
      <c r="P165" s="16"/>
    </row>
    <row r="166" spans="1:16" hidden="1" x14ac:dyDescent="0.3">
      <c r="A166" s="237"/>
      <c r="B166" s="114">
        <f t="shared" si="1"/>
        <v>95</v>
      </c>
      <c r="C166" s="114"/>
      <c r="D166" s="227"/>
      <c r="E166" s="306"/>
      <c r="F166" s="307"/>
      <c r="G166" s="228"/>
      <c r="H166" s="228"/>
      <c r="I166" s="228"/>
      <c r="J166" s="228"/>
      <c r="K166" s="228"/>
      <c r="L166" s="228"/>
      <c r="M166" s="229"/>
      <c r="N166" s="230"/>
      <c r="O166" s="16">
        <f t="shared" si="2"/>
        <v>0</v>
      </c>
      <c r="P166" s="16"/>
    </row>
    <row r="167" spans="1:16" hidden="1" x14ac:dyDescent="0.3">
      <c r="A167" s="237"/>
      <c r="B167" s="114">
        <f t="shared" si="1"/>
        <v>96</v>
      </c>
      <c r="C167" s="114"/>
      <c r="D167" s="227"/>
      <c r="E167" s="306"/>
      <c r="F167" s="307"/>
      <c r="G167" s="228"/>
      <c r="H167" s="228"/>
      <c r="I167" s="228"/>
      <c r="J167" s="228"/>
      <c r="K167" s="228"/>
      <c r="L167" s="228"/>
      <c r="M167" s="229"/>
      <c r="N167" s="230"/>
      <c r="O167" s="16">
        <f t="shared" si="2"/>
        <v>0</v>
      </c>
      <c r="P167" s="16"/>
    </row>
    <row r="168" spans="1:16" hidden="1" x14ac:dyDescent="0.3">
      <c r="A168" s="237"/>
      <c r="B168" s="114">
        <f t="shared" si="1"/>
        <v>97</v>
      </c>
      <c r="C168" s="114"/>
      <c r="D168" s="227"/>
      <c r="E168" s="306"/>
      <c r="F168" s="307"/>
      <c r="G168" s="228"/>
      <c r="H168" s="228"/>
      <c r="I168" s="228"/>
      <c r="J168" s="228"/>
      <c r="K168" s="228"/>
      <c r="L168" s="228"/>
      <c r="M168" s="229"/>
      <c r="N168" s="230"/>
      <c r="O168" s="16">
        <f t="shared" si="2"/>
        <v>0</v>
      </c>
      <c r="P168" s="16"/>
    </row>
    <row r="169" spans="1:16" hidden="1" x14ac:dyDescent="0.3">
      <c r="A169" s="237"/>
      <c r="B169" s="114">
        <f t="shared" si="1"/>
        <v>98</v>
      </c>
      <c r="C169" s="114"/>
      <c r="D169" s="227"/>
      <c r="E169" s="306"/>
      <c r="F169" s="307"/>
      <c r="G169" s="228"/>
      <c r="H169" s="228"/>
      <c r="I169" s="228"/>
      <c r="J169" s="228"/>
      <c r="K169" s="228"/>
      <c r="L169" s="228"/>
      <c r="M169" s="229"/>
      <c r="N169" s="230"/>
      <c r="O169" s="16">
        <f t="shared" si="2"/>
        <v>0</v>
      </c>
      <c r="P169" s="16"/>
    </row>
    <row r="170" spans="1:16" hidden="1" x14ac:dyDescent="0.3">
      <c r="A170" s="237"/>
      <c r="B170" s="114">
        <f t="shared" si="1"/>
        <v>99</v>
      </c>
      <c r="C170" s="114"/>
      <c r="D170" s="227"/>
      <c r="E170" s="306"/>
      <c r="F170" s="307"/>
      <c r="G170" s="228"/>
      <c r="H170" s="228"/>
      <c r="I170" s="228"/>
      <c r="J170" s="228"/>
      <c r="K170" s="228"/>
      <c r="L170" s="228"/>
      <c r="M170" s="229"/>
      <c r="N170" s="230"/>
      <c r="O170" s="16">
        <f t="shared" si="2"/>
        <v>0</v>
      </c>
      <c r="P170" s="16"/>
    </row>
    <row r="171" spans="1:16" hidden="1" x14ac:dyDescent="0.3">
      <c r="A171" s="237"/>
      <c r="B171" s="114">
        <f t="shared" si="1"/>
        <v>100</v>
      </c>
      <c r="C171" s="114"/>
      <c r="D171" s="227"/>
      <c r="E171" s="306"/>
      <c r="F171" s="307"/>
      <c r="G171" s="228"/>
      <c r="H171" s="228"/>
      <c r="I171" s="228"/>
      <c r="J171" s="228"/>
      <c r="K171" s="228"/>
      <c r="L171" s="228"/>
      <c r="M171" s="229"/>
      <c r="N171" s="230"/>
      <c r="O171" s="16">
        <f>N171*D171</f>
        <v>0</v>
      </c>
      <c r="P171" s="16"/>
    </row>
    <row r="172" spans="1:16" x14ac:dyDescent="0.3">
      <c r="A172" s="237"/>
      <c r="B172" s="164"/>
      <c r="C172" s="164"/>
      <c r="D172" s="115">
        <f>SUM(D72:D171)</f>
        <v>0</v>
      </c>
      <c r="E172" s="304"/>
      <c r="F172" s="305"/>
      <c r="G172" s="116">
        <f>SUMPRODUCT($D$72:$D$171,G72:G171)</f>
        <v>0</v>
      </c>
      <c r="H172" s="116"/>
      <c r="I172" s="116">
        <f>SUMPRODUCT($D$72:$D$171,I72:I171)</f>
        <v>0</v>
      </c>
      <c r="J172" s="116">
        <f>SUMPRODUCT($D$72:$D$171,J72:J171)</f>
        <v>0</v>
      </c>
      <c r="K172" s="116">
        <f>SUMPRODUCT($D$72:$D$171,K72:K171)</f>
        <v>0</v>
      </c>
      <c r="L172" s="117">
        <f>SUMPRODUCT($D$72:$D$171,L72:L171)</f>
        <v>0</v>
      </c>
      <c r="M172" s="17"/>
      <c r="N172" s="17"/>
      <c r="O172" s="17" t="e">
        <f>SUM(O72:O171)</f>
        <v>#VALUE!</v>
      </c>
      <c r="P172" s="16"/>
    </row>
    <row r="173" spans="1:16" ht="10.5" customHeight="1" x14ac:dyDescent="0.3">
      <c r="A173" s="237"/>
    </row>
    <row r="174" spans="1:16" ht="15" customHeight="1" x14ac:dyDescent="0.3">
      <c r="A174" s="238"/>
      <c r="B174" s="8" t="s">
        <v>852</v>
      </c>
      <c r="D174" s="274" t="s">
        <v>854</v>
      </c>
      <c r="E174" s="274"/>
      <c r="F174" s="274"/>
      <c r="G174" s="240">
        <f t="array" ref="G174">IFERROR(SUMPRODUCT((C72:C171="")*(D72:D171)*(J72:J171))/I66,0)</f>
        <v>0</v>
      </c>
      <c r="H174" s="274" t="s">
        <v>855</v>
      </c>
      <c r="I174" s="274"/>
      <c r="J174" s="274"/>
      <c r="K174" s="274"/>
      <c r="L174" s="240">
        <f t="array" ref="L174">IFERROR(SUMPRODUCT((C72:C171="C")*(D72:D171)*(J72:J171))/I66,0)</f>
        <v>0</v>
      </c>
    </row>
    <row r="175" spans="1:16" ht="12.75" customHeight="1" x14ac:dyDescent="0.3">
      <c r="A175" s="238"/>
    </row>
    <row r="176" spans="1:16" x14ac:dyDescent="0.3">
      <c r="A176" s="238"/>
      <c r="E176" s="4" t="s">
        <v>35</v>
      </c>
      <c r="F176" s="246" t="s">
        <v>868</v>
      </c>
      <c r="G176" s="246"/>
      <c r="H176" s="246"/>
      <c r="I176" s="145"/>
      <c r="J176" s="4" t="s">
        <v>36</v>
      </c>
      <c r="K176" s="258"/>
      <c r="L176" s="258"/>
      <c r="M176" s="174"/>
      <c r="N176" s="174"/>
      <c r="O176" s="174"/>
    </row>
    <row r="177" spans="1:18" ht="6.75" customHeight="1" x14ac:dyDescent="0.3">
      <c r="A177" s="238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</row>
    <row r="178" spans="1:18" ht="15" customHeight="1" x14ac:dyDescent="0.3">
      <c r="A178" s="238"/>
      <c r="B178" s="145"/>
      <c r="C178" s="145"/>
      <c r="D178" s="145"/>
      <c r="E178" s="4" t="s">
        <v>37</v>
      </c>
      <c r="F178" s="249" t="s">
        <v>875</v>
      </c>
      <c r="G178" s="250"/>
      <c r="H178" s="250"/>
      <c r="I178" s="150">
        <v>2397.4499999999998</v>
      </c>
      <c r="J178" s="6" t="s">
        <v>38</v>
      </c>
      <c r="P178" s="145"/>
    </row>
    <row r="179" spans="1:18" ht="9" customHeight="1" x14ac:dyDescent="0.3">
      <c r="A179" s="238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</row>
    <row r="180" spans="1:18" ht="6" customHeight="1" x14ac:dyDescent="0.3">
      <c r="A180" s="238"/>
      <c r="B180" s="8"/>
      <c r="C180" s="8"/>
      <c r="D180" s="145"/>
      <c r="E180" s="4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</row>
    <row r="181" spans="1:18" ht="15" customHeight="1" x14ac:dyDescent="0.3">
      <c r="A181" s="238"/>
      <c r="B181" s="281" t="str">
        <f>IF($F$30&lt;&gt;"sim","Valor proposto do terreno:","Valor proposto do terreno para o módulo:")</f>
        <v>Valor proposto do terreno:</v>
      </c>
      <c r="C181" s="281"/>
      <c r="D181" s="281"/>
      <c r="E181" s="222" t="s">
        <v>869</v>
      </c>
      <c r="F181" s="247" t="s">
        <v>901</v>
      </c>
      <c r="G181" s="248"/>
      <c r="H181" s="248"/>
      <c r="I181" s="145" t="s">
        <v>833</v>
      </c>
      <c r="J181" s="145"/>
      <c r="K181" s="145"/>
      <c r="L181" s="145"/>
      <c r="M181" s="145"/>
      <c r="N181" s="145"/>
      <c r="O181" s="145"/>
    </row>
    <row r="182" spans="1:18" ht="6.75" customHeight="1" x14ac:dyDescent="0.3">
      <c r="A182" s="238"/>
      <c r="N182" s="174"/>
      <c r="O182" s="174"/>
    </row>
    <row r="183" spans="1:18" x14ac:dyDescent="0.3">
      <c r="A183" s="238"/>
      <c r="B183" s="8"/>
      <c r="C183" s="8"/>
      <c r="D183" s="145"/>
      <c r="I183" s="145"/>
      <c r="J183" s="4" t="s">
        <v>834</v>
      </c>
      <c r="K183" s="280"/>
      <c r="L183" s="280"/>
      <c r="M183" s="145"/>
      <c r="N183" s="145"/>
      <c r="O183" s="145"/>
      <c r="P183" s="145"/>
    </row>
    <row r="184" spans="1:18" ht="6.75" customHeight="1" x14ac:dyDescent="0.3">
      <c r="A184" s="238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</row>
    <row r="185" spans="1:18" ht="6" customHeight="1" x14ac:dyDescent="0.3">
      <c r="A185" s="238"/>
      <c r="O185" s="145"/>
    </row>
    <row r="186" spans="1:18" ht="15" customHeight="1" x14ac:dyDescent="0.3">
      <c r="A186" s="329"/>
      <c r="B186" s="8" t="s">
        <v>39</v>
      </c>
      <c r="C186" s="8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R186" s="127"/>
    </row>
    <row r="187" spans="1:18" ht="15" customHeight="1" x14ac:dyDescent="0.3">
      <c r="A187" s="329"/>
      <c r="B187" s="145"/>
      <c r="C187" s="145"/>
      <c r="D187" s="145"/>
      <c r="E187" s="4" t="s">
        <v>40</v>
      </c>
      <c r="F187" s="300">
        <f>I178*K172</f>
        <v>0</v>
      </c>
      <c r="G187" s="300"/>
      <c r="H187" s="218"/>
      <c r="I187" s="4" t="s">
        <v>41</v>
      </c>
      <c r="J187" s="151">
        <v>0.3</v>
      </c>
      <c r="K187" s="145"/>
      <c r="L187" s="4" t="s">
        <v>42</v>
      </c>
      <c r="M187" s="300">
        <f>ROUND(F187*(1+J187),2)</f>
        <v>0</v>
      </c>
      <c r="N187" s="300"/>
      <c r="O187" s="300"/>
      <c r="P187" s="177"/>
      <c r="Q187">
        <f>IF(OR(programa=$A$5,programa=$A$6),0,Orç_analítico_Hab!M430)</f>
        <v>0</v>
      </c>
      <c r="R187">
        <f>IF(OR(programa=$A$5,programa=$A$6),0,Orç_analítico_Hab!M431)</f>
        <v>0</v>
      </c>
    </row>
    <row r="188" spans="1:18" ht="15" customHeight="1" x14ac:dyDescent="0.3">
      <c r="A188" s="329"/>
      <c r="B188" s="145"/>
      <c r="C188" s="145"/>
      <c r="D188" s="145"/>
      <c r="E188" s="145"/>
      <c r="F188" s="145"/>
      <c r="G188" s="145"/>
      <c r="H188" s="145"/>
      <c r="I188" s="145"/>
      <c r="J188" s="152"/>
      <c r="K188" s="153"/>
      <c r="L188" s="154" t="e">
        <f>IF($F$34="condomínio",M187/$K$172,"")</f>
        <v>#DIV/0!</v>
      </c>
      <c r="M188" s="154" t="s">
        <v>38</v>
      </c>
      <c r="N188" s="154" t="e">
        <f>IF($F$34="condomínio",M187/$D$172,"")</f>
        <v>#DIV/0!</v>
      </c>
      <c r="O188" s="154" t="s">
        <v>68</v>
      </c>
      <c r="P188" s="154"/>
    </row>
    <row r="189" spans="1:18" ht="15" customHeight="1" x14ac:dyDescent="0.3">
      <c r="A189" s="329"/>
      <c r="B189" s="8" t="s">
        <v>43</v>
      </c>
      <c r="C189" s="8"/>
      <c r="D189" s="145"/>
      <c r="E189" s="145"/>
      <c r="F189" s="145"/>
      <c r="G189" s="145"/>
      <c r="H189" s="145"/>
      <c r="I189" s="145"/>
      <c r="J189" s="145"/>
      <c r="K189" s="145"/>
      <c r="L189" s="4"/>
      <c r="M189" s="4" t="s">
        <v>46</v>
      </c>
      <c r="N189" s="146" t="s">
        <v>860</v>
      </c>
      <c r="P189" s="145"/>
    </row>
    <row r="190" spans="1:18" ht="15" customHeight="1" x14ac:dyDescent="0.3">
      <c r="A190" s="329"/>
      <c r="B190" s="145"/>
      <c r="C190" s="145"/>
      <c r="D190" s="145"/>
      <c r="E190" s="4" t="s">
        <v>40</v>
      </c>
      <c r="F190" s="300">
        <v>0</v>
      </c>
      <c r="G190" s="300"/>
      <c r="H190" s="218"/>
      <c r="I190" s="4" t="s">
        <v>41</v>
      </c>
      <c r="J190" s="155">
        <v>0</v>
      </c>
      <c r="K190" s="145"/>
      <c r="L190" s="4" t="s">
        <v>42</v>
      </c>
      <c r="M190" s="300">
        <f>F190*(1+J190)</f>
        <v>0</v>
      </c>
      <c r="N190" s="300"/>
      <c r="O190" s="300"/>
      <c r="P190" s="177"/>
    </row>
    <row r="191" spans="1:18" ht="15" customHeight="1" x14ac:dyDescent="0.3">
      <c r="A191" s="329"/>
      <c r="B191" s="145"/>
      <c r="C191" s="145"/>
      <c r="D191" s="145"/>
      <c r="E191" s="145"/>
      <c r="F191" s="145"/>
      <c r="G191" s="145"/>
      <c r="H191" s="145"/>
      <c r="I191" s="145"/>
      <c r="J191" s="145"/>
      <c r="K191" s="153"/>
      <c r="L191" s="154"/>
      <c r="M191" s="154"/>
      <c r="N191" s="154" t="e">
        <f>IF($F$34="condomínio",M190/$D$172,"")</f>
        <v>#DIV/0!</v>
      </c>
      <c r="O191" s="154" t="s">
        <v>68</v>
      </c>
      <c r="P191" s="154"/>
    </row>
    <row r="192" spans="1:18" ht="15" customHeight="1" x14ac:dyDescent="0.3">
      <c r="A192" s="329"/>
      <c r="B192" s="8" t="s">
        <v>44</v>
      </c>
      <c r="C192" s="8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</row>
    <row r="193" spans="1:19" ht="15" customHeight="1" x14ac:dyDescent="0.3">
      <c r="A193" s="329"/>
      <c r="B193" s="145"/>
      <c r="C193" s="145"/>
      <c r="D193" s="180"/>
      <c r="E193" s="181" t="s">
        <v>40</v>
      </c>
      <c r="F193" s="300">
        <v>0</v>
      </c>
      <c r="G193" s="300"/>
      <c r="H193" s="218"/>
      <c r="I193" s="181" t="s">
        <v>41</v>
      </c>
      <c r="J193" s="182">
        <f>IF(MCMV=0,0,Orç_analítico_Equipamen_Faixa_I!M357)</f>
        <v>0</v>
      </c>
      <c r="K193" s="180"/>
      <c r="L193" s="181" t="s">
        <v>42</v>
      </c>
      <c r="M193" s="326">
        <f>F193*(1+J193)</f>
        <v>0</v>
      </c>
      <c r="N193" s="326"/>
      <c r="O193" s="326"/>
      <c r="P193" s="177"/>
    </row>
    <row r="194" spans="1:19" ht="15" customHeight="1" x14ac:dyDescent="0.3">
      <c r="A194" s="329"/>
      <c r="B194" s="145"/>
      <c r="C194" s="145"/>
      <c r="D194" s="180"/>
      <c r="E194" s="180"/>
      <c r="F194" s="180"/>
      <c r="G194" s="180"/>
      <c r="H194" s="180"/>
      <c r="I194" s="180"/>
      <c r="J194" s="180"/>
      <c r="K194" s="180"/>
      <c r="L194" s="180"/>
      <c r="M194" s="183"/>
      <c r="N194" s="184" t="e">
        <f>IF($F$34="condomínio",M193/$D$172,"")</f>
        <v>#DIV/0!</v>
      </c>
      <c r="O194" s="184" t="s">
        <v>68</v>
      </c>
      <c r="P194" s="154"/>
    </row>
    <row r="195" spans="1:19" ht="15" customHeight="1" x14ac:dyDescent="0.3">
      <c r="A195" s="329"/>
      <c r="B195" s="145"/>
      <c r="C195" s="145"/>
      <c r="D195" s="145"/>
      <c r="E195" s="145"/>
      <c r="F195" s="145"/>
      <c r="G195" s="145"/>
      <c r="H195" s="145"/>
      <c r="I195" s="145"/>
      <c r="J195" s="156"/>
      <c r="K195" s="157"/>
      <c r="L195" s="13" t="s">
        <v>45</v>
      </c>
      <c r="M195" s="327">
        <f>IF(OR(N189&lt;"0",N189="não"),SUM(M187,M193),IF(programa=$A$6,M190,SUM(M187,M193,M190)))</f>
        <v>0</v>
      </c>
      <c r="N195" s="327"/>
      <c r="O195" s="328"/>
      <c r="P195" s="177"/>
    </row>
    <row r="196" spans="1:19" ht="15" customHeight="1" x14ac:dyDescent="0.3">
      <c r="A196" s="329"/>
      <c r="B196" s="145"/>
      <c r="C196" s="145"/>
      <c r="D196" s="145"/>
      <c r="E196" s="145"/>
      <c r="F196" s="145"/>
      <c r="G196" s="145"/>
      <c r="H196" s="145"/>
      <c r="I196" s="145"/>
      <c r="J196" s="158"/>
      <c r="K196" s="159"/>
      <c r="L196" s="160" t="e">
        <f>IF($F$34="condomínio",M195/$K$172,"")</f>
        <v>#DIV/0!</v>
      </c>
      <c r="M196" s="160" t="s">
        <v>38</v>
      </c>
      <c r="N196" s="160" t="e">
        <f>IF($F$34="condomínio",M195/$D$172,"")</f>
        <v>#DIV/0!</v>
      </c>
      <c r="O196" s="179" t="str">
        <f>IF(programa=$A$6,"/LOTE","/UH")</f>
        <v>/UH</v>
      </c>
      <c r="P196" s="154"/>
    </row>
    <row r="197" spans="1:19" x14ac:dyDescent="0.3">
      <c r="A197" s="329"/>
      <c r="B197" s="8" t="s">
        <v>50</v>
      </c>
      <c r="C197" s="8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210" t="s">
        <v>845</v>
      </c>
      <c r="R197" s="211"/>
      <c r="S197" s="211"/>
    </row>
    <row r="198" spans="1:19" x14ac:dyDescent="0.3">
      <c r="A198" s="329"/>
      <c r="B198" s="145"/>
      <c r="C198" s="145"/>
      <c r="D198" s="145"/>
      <c r="E198" s="145"/>
      <c r="F198" s="4" t="s">
        <v>696</v>
      </c>
      <c r="G198" s="318" t="e">
        <f>0.02*$O$172</f>
        <v>#VALUE!</v>
      </c>
      <c r="H198" s="318"/>
      <c r="I198" s="318"/>
      <c r="J198" s="1" t="s">
        <v>705</v>
      </c>
      <c r="K198" s="145"/>
      <c r="L198" s="145"/>
      <c r="M198" s="145"/>
      <c r="N198" s="145"/>
      <c r="O198" s="145"/>
      <c r="P198" s="145"/>
      <c r="Q198" s="254" t="e">
        <f>IF(G198&gt;O172*0.02,"(excedeu limite aceitável)","(ok)")</f>
        <v>#VALUE!</v>
      </c>
      <c r="R198" s="255"/>
      <c r="S198" s="256"/>
    </row>
    <row r="199" spans="1:19" x14ac:dyDescent="0.3">
      <c r="A199" s="329"/>
      <c r="B199" s="145"/>
      <c r="C199" s="145"/>
      <c r="D199" s="145"/>
      <c r="E199" s="145"/>
      <c r="F199" s="4" t="s">
        <v>699</v>
      </c>
      <c r="G199" s="318">
        <f>0.05*M195</f>
        <v>0</v>
      </c>
      <c r="H199" s="318"/>
      <c r="I199" s="318"/>
      <c r="J199" s="1" t="s">
        <v>706</v>
      </c>
      <c r="K199" s="145"/>
      <c r="L199" s="145"/>
      <c r="M199" s="145"/>
      <c r="N199" s="145"/>
      <c r="O199" s="145"/>
      <c r="P199" s="145"/>
      <c r="Q199" s="254" t="str">
        <f>IF(OR(G199&lt;M195*0.005,G199&gt;M195*0.05),"(fora do intervalo aceitável)","(ok)")</f>
        <v>(ok)</v>
      </c>
      <c r="R199" s="255"/>
      <c r="S199" s="256"/>
    </row>
    <row r="200" spans="1:19" x14ac:dyDescent="0.3">
      <c r="A200" s="329"/>
      <c r="B200" s="145"/>
      <c r="C200" s="145"/>
      <c r="D200" s="145"/>
      <c r="E200" s="145"/>
      <c r="F200" s="4" t="s">
        <v>704</v>
      </c>
      <c r="G200" s="318">
        <f>0.005*M195</f>
        <v>0</v>
      </c>
      <c r="H200" s="318"/>
      <c r="I200" s="318"/>
      <c r="J200" s="1" t="s">
        <v>707</v>
      </c>
      <c r="K200" s="145"/>
      <c r="L200" s="145"/>
      <c r="M200" s="145"/>
      <c r="N200" s="145"/>
      <c r="O200" s="145"/>
      <c r="P200" s="145"/>
      <c r="Q200" s="254" t="str">
        <f>IF(G200&gt;M195*0.005,"(excedeu limite aceitável)","(ok)")</f>
        <v>(ok)</v>
      </c>
      <c r="R200" s="255"/>
      <c r="S200" s="256"/>
    </row>
    <row r="201" spans="1:19" x14ac:dyDescent="0.3">
      <c r="A201" s="329"/>
      <c r="B201" s="145"/>
      <c r="C201" s="145"/>
      <c r="D201" s="145"/>
      <c r="E201" s="145"/>
      <c r="F201" s="4" t="s">
        <v>47</v>
      </c>
      <c r="G201" s="318" t="e">
        <f>0.08*$O$172</f>
        <v>#VALUE!</v>
      </c>
      <c r="H201" s="318"/>
      <c r="I201" s="318"/>
      <c r="J201" s="6" t="s">
        <v>697</v>
      </c>
      <c r="K201" s="145"/>
      <c r="L201" s="145"/>
      <c r="M201" s="145"/>
      <c r="N201" s="145"/>
      <c r="O201" s="145"/>
      <c r="P201" s="145"/>
      <c r="Q201" s="257" t="e">
        <f>IF(OR(G201&lt;O172*0.04,G201&gt;O172*0.08),"(fora do intervalo aceitável)","(ok)")</f>
        <v>#VALUE!</v>
      </c>
      <c r="R201" s="257"/>
      <c r="S201" s="257"/>
    </row>
    <row r="202" spans="1:19" x14ac:dyDescent="0.3">
      <c r="A202" s="329"/>
      <c r="B202" s="145"/>
      <c r="C202" s="145"/>
      <c r="D202" s="145"/>
      <c r="E202" s="145"/>
      <c r="F202" s="4" t="s">
        <v>819</v>
      </c>
      <c r="G202" s="318">
        <v>50</v>
      </c>
      <c r="H202" s="318"/>
      <c r="I202" s="318"/>
      <c r="J202" s="1" t="b">
        <f>IF(OR(programa=$A$7,programa=$A$8),"(1,5% do valor de aquisiçãos das UH + 0,5% se implantado na forma de condominio)")</f>
        <v>0</v>
      </c>
      <c r="K202" s="145"/>
      <c r="L202" s="145"/>
      <c r="M202" s="145"/>
      <c r="N202" s="145"/>
      <c r="O202" s="145"/>
      <c r="P202" s="145"/>
    </row>
    <row r="203" spans="1:19" x14ac:dyDescent="0.3">
      <c r="A203" s="329"/>
      <c r="B203" s="145"/>
      <c r="C203" s="145"/>
      <c r="D203" s="145"/>
      <c r="E203" s="145"/>
      <c r="F203" s="4" t="s">
        <v>48</v>
      </c>
      <c r="G203" s="318">
        <v>60</v>
      </c>
      <c r="H203" s="318"/>
      <c r="I203" s="318"/>
      <c r="J203" s="145"/>
      <c r="K203" s="145"/>
      <c r="L203" s="145"/>
      <c r="M203" s="145"/>
      <c r="N203" s="145"/>
      <c r="O203" s="145"/>
      <c r="P203" s="145"/>
    </row>
    <row r="204" spans="1:19" x14ac:dyDescent="0.3">
      <c r="A204" s="329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0" t="s">
        <v>49</v>
      </c>
      <c r="M204" s="300" t="e">
        <f>IF(A12=1,SUM(G198,G200:I203),SUM(G198:I201))</f>
        <v>#VALUE!</v>
      </c>
      <c r="N204" s="300"/>
      <c r="O204" s="300"/>
      <c r="P204" s="177"/>
    </row>
    <row r="205" spans="1:19" ht="5.0999999999999996" customHeight="1" x14ac:dyDescent="0.3">
      <c r="A205" s="329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</row>
    <row r="206" spans="1:19" x14ac:dyDescent="0.3">
      <c r="A206" s="329"/>
      <c r="B206" s="145"/>
      <c r="C206" s="145"/>
      <c r="D206" s="145"/>
      <c r="E206" s="145"/>
      <c r="F206" s="145"/>
      <c r="G206" s="145"/>
      <c r="H206" s="145"/>
      <c r="I206" s="145"/>
      <c r="J206" s="156"/>
      <c r="K206" s="157"/>
      <c r="L206" s="13" t="s">
        <v>51</v>
      </c>
      <c r="M206" s="327" t="e">
        <f>M195+M204+F181</f>
        <v>#VALUE!</v>
      </c>
      <c r="N206" s="327"/>
      <c r="O206" s="328"/>
      <c r="P206" s="177"/>
    </row>
    <row r="207" spans="1:19" ht="15" customHeight="1" x14ac:dyDescent="0.3">
      <c r="A207" s="329"/>
      <c r="B207" s="145"/>
      <c r="C207" s="145"/>
      <c r="D207" s="145"/>
      <c r="E207" s="145"/>
      <c r="F207" s="145"/>
      <c r="G207" s="145"/>
      <c r="H207" s="145"/>
      <c r="I207" s="145"/>
      <c r="J207" s="158"/>
      <c r="K207" s="159"/>
      <c r="L207" s="160" t="e">
        <f>IF($F$34="condomínio",M206/$K$172,"")</f>
        <v>#VALUE!</v>
      </c>
      <c r="M207" s="160" t="s">
        <v>38</v>
      </c>
      <c r="N207" s="160" t="e">
        <f>IF($F$34="condomínio",M206/$D$172,"")</f>
        <v>#VALUE!</v>
      </c>
      <c r="O207" s="178" t="s">
        <v>68</v>
      </c>
      <c r="P207" s="154"/>
    </row>
    <row r="208" spans="1:19" x14ac:dyDescent="0.3">
      <c r="A208" s="238"/>
      <c r="B208" s="8" t="s">
        <v>53</v>
      </c>
      <c r="C208" s="8"/>
      <c r="D208" s="145"/>
      <c r="E208" s="145"/>
      <c r="F208" s="145"/>
      <c r="G208" s="259" t="s">
        <v>54</v>
      </c>
      <c r="H208" s="259"/>
      <c r="I208" s="259"/>
      <c r="J208" s="145"/>
      <c r="K208" s="118" t="s">
        <v>701</v>
      </c>
      <c r="L208" s="118"/>
      <c r="M208" s="118"/>
      <c r="N208" s="118"/>
      <c r="O208" s="1"/>
      <c r="P208" s="145"/>
    </row>
    <row r="209" spans="1:16" x14ac:dyDescent="0.3">
      <c r="A209" s="237"/>
      <c r="B209" s="260"/>
      <c r="C209" s="260"/>
      <c r="D209" s="260"/>
      <c r="E209" s="260"/>
      <c r="F209" s="145"/>
      <c r="G209" s="299"/>
      <c r="H209" s="299"/>
      <c r="I209" s="299"/>
      <c r="J209" s="145"/>
      <c r="K209" s="260"/>
      <c r="L209" s="260"/>
      <c r="M209" s="260"/>
      <c r="N209" s="260"/>
      <c r="O209" s="260"/>
      <c r="P209" s="145"/>
    </row>
    <row r="210" spans="1:16" x14ac:dyDescent="0.3">
      <c r="B210" s="260"/>
      <c r="C210" s="260"/>
      <c r="D210" s="260"/>
      <c r="E210" s="260"/>
      <c r="F210" s="145"/>
      <c r="G210" s="299"/>
      <c r="H210" s="299"/>
      <c r="I210" s="299"/>
      <c r="J210" s="145"/>
      <c r="K210" s="260"/>
      <c r="L210" s="260"/>
      <c r="M210" s="260"/>
      <c r="N210" s="260"/>
      <c r="O210" s="260"/>
      <c r="P210" s="145"/>
    </row>
    <row r="211" spans="1:16" x14ac:dyDescent="0.3">
      <c r="B211" s="260"/>
      <c r="C211" s="260"/>
      <c r="D211" s="260"/>
      <c r="E211" s="260"/>
      <c r="F211" s="145"/>
      <c r="G211" s="299"/>
      <c r="H211" s="299"/>
      <c r="I211" s="299"/>
      <c r="J211" s="145"/>
      <c r="K211" s="260"/>
      <c r="L211" s="260"/>
      <c r="M211" s="260"/>
      <c r="N211" s="260"/>
      <c r="O211" s="260"/>
      <c r="P211" s="145"/>
    </row>
    <row r="212" spans="1:16" ht="5.0999999999999996" customHeight="1" x14ac:dyDescent="0.3"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</row>
    <row r="213" spans="1:16" x14ac:dyDescent="0.3">
      <c r="B213" s="8" t="s">
        <v>55</v>
      </c>
      <c r="C213" s="8"/>
      <c r="D213" s="145"/>
      <c r="E213" s="145"/>
      <c r="F213" s="145"/>
      <c r="G213" s="259" t="s">
        <v>54</v>
      </c>
      <c r="H213" s="259"/>
      <c r="I213" s="259"/>
      <c r="J213" s="145"/>
      <c r="K213" s="145"/>
      <c r="L213" s="145"/>
      <c r="M213" s="241"/>
      <c r="N213" s="145"/>
      <c r="O213" s="145"/>
      <c r="P213" s="145"/>
    </row>
    <row r="214" spans="1:16" x14ac:dyDescent="0.3">
      <c r="B214" s="260"/>
      <c r="C214" s="260"/>
      <c r="D214" s="260"/>
      <c r="E214" s="260"/>
      <c r="F214" s="145"/>
      <c r="G214" s="299"/>
      <c r="H214" s="299"/>
      <c r="I214" s="299"/>
      <c r="J214" s="145"/>
      <c r="K214" s="145"/>
      <c r="L214" s="145"/>
      <c r="M214" s="145"/>
      <c r="N214" s="241"/>
      <c r="O214" s="145"/>
      <c r="P214" s="145"/>
    </row>
    <row r="215" spans="1:16" x14ac:dyDescent="0.3">
      <c r="B215" s="260"/>
      <c r="C215" s="260"/>
      <c r="D215" s="260"/>
      <c r="E215" s="260"/>
      <c r="F215" s="145"/>
      <c r="G215" s="299"/>
      <c r="H215" s="299"/>
      <c r="I215" s="299"/>
      <c r="J215" s="145"/>
      <c r="K215" s="145"/>
      <c r="L215" s="145"/>
      <c r="M215" s="145"/>
      <c r="N215" s="145"/>
      <c r="O215" s="145"/>
      <c r="P215" s="145"/>
    </row>
    <row r="216" spans="1:16" x14ac:dyDescent="0.3">
      <c r="B216" s="260"/>
      <c r="C216" s="260"/>
      <c r="D216" s="260"/>
      <c r="E216" s="260"/>
      <c r="F216" s="145"/>
      <c r="G216" s="299"/>
      <c r="H216" s="299"/>
      <c r="I216" s="299"/>
      <c r="J216" s="161"/>
      <c r="K216" s="162"/>
      <c r="L216" s="9" t="s">
        <v>52</v>
      </c>
      <c r="M216" s="322" t="e">
        <f>O172</f>
        <v>#VALUE!</v>
      </c>
      <c r="N216" s="322"/>
      <c r="O216" s="323"/>
      <c r="P216" s="177"/>
    </row>
    <row r="217" spans="1:16" ht="5.0999999999999996" customHeight="1" x14ac:dyDescent="0.3"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</row>
    <row r="218" spans="1:16" x14ac:dyDescent="0.3">
      <c r="B218" s="5" t="s">
        <v>56</v>
      </c>
      <c r="C218" s="1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</row>
    <row r="219" spans="1:16" x14ac:dyDescent="0.3">
      <c r="B219" s="324" t="s">
        <v>896</v>
      </c>
      <c r="C219" s="325"/>
      <c r="D219" s="325"/>
      <c r="E219" s="325"/>
      <c r="F219" s="325"/>
      <c r="G219" s="325"/>
      <c r="H219" s="325"/>
      <c r="I219" s="325"/>
      <c r="J219" s="325"/>
      <c r="K219" s="325"/>
      <c r="L219" s="325"/>
      <c r="M219" s="325"/>
      <c r="N219" s="325"/>
      <c r="O219" s="325"/>
      <c r="P219" s="171"/>
    </row>
    <row r="220" spans="1:16" ht="28.2" customHeight="1" x14ac:dyDescent="0.3">
      <c r="B220" s="324"/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25"/>
      <c r="N220" s="325"/>
      <c r="O220" s="325"/>
      <c r="P220" s="171"/>
    </row>
    <row r="221" spans="1:16" ht="26.25" customHeight="1" x14ac:dyDescent="0.3"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</row>
    <row r="222" spans="1:16" x14ac:dyDescent="0.3">
      <c r="B222" s="11" t="s">
        <v>74</v>
      </c>
      <c r="C222" s="11"/>
      <c r="D222" s="157"/>
      <c r="E222" s="157"/>
      <c r="F222" s="157"/>
      <c r="G222" s="157"/>
      <c r="H222" s="145"/>
      <c r="I222" s="145"/>
      <c r="J222" s="145"/>
      <c r="K222" s="145"/>
      <c r="L222" s="145"/>
      <c r="M222" s="145"/>
      <c r="N222" s="145"/>
      <c r="O222" s="145"/>
      <c r="P222" s="145"/>
    </row>
    <row r="223" spans="1:16" x14ac:dyDescent="0.3">
      <c r="B223" s="4" t="s">
        <v>57</v>
      </c>
      <c r="C223" s="263" t="str">
        <f>B16</f>
        <v>{PROPONENTE}</v>
      </c>
      <c r="D223" s="264"/>
      <c r="E223" s="264"/>
      <c r="F223" s="264"/>
      <c r="G223" s="264"/>
      <c r="H223" s="235"/>
      <c r="I223" s="145"/>
      <c r="J223" s="145"/>
      <c r="K223" s="145"/>
      <c r="L223" s="145"/>
      <c r="M223" s="145"/>
      <c r="N223" s="145"/>
      <c r="O223" s="145"/>
      <c r="P223" s="145"/>
    </row>
    <row r="224" spans="1:16" x14ac:dyDescent="0.3">
      <c r="B224" s="4" t="s">
        <v>58</v>
      </c>
      <c r="C224" s="264" t="str">
        <f>M16</f>
        <v>{DOC. PROPONENTE}</v>
      </c>
      <c r="D224" s="264"/>
      <c r="E224" s="264"/>
      <c r="F224" s="264"/>
      <c r="G224" s="264"/>
      <c r="H224" s="236"/>
      <c r="I224" s="145"/>
      <c r="J224" s="145"/>
      <c r="K224" s="145"/>
      <c r="L224" s="145"/>
      <c r="M224" s="145"/>
      <c r="N224" s="145"/>
      <c r="O224" s="145"/>
      <c r="P224" s="145"/>
    </row>
    <row r="225" spans="2:16" ht="5.0999999999999996" customHeight="1" x14ac:dyDescent="0.3"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</row>
    <row r="226" spans="2:16" x14ac:dyDescent="0.3">
      <c r="B226" s="4" t="s">
        <v>76</v>
      </c>
      <c r="C226" s="264" t="s">
        <v>873</v>
      </c>
      <c r="D226" s="264"/>
      <c r="E226" s="264"/>
      <c r="F226" s="264"/>
      <c r="G226" s="264"/>
      <c r="H226" s="235"/>
      <c r="I226" s="145"/>
      <c r="J226" s="145"/>
      <c r="K226" s="145"/>
      <c r="L226" s="145"/>
      <c r="M226" s="145"/>
      <c r="N226" s="145"/>
      <c r="O226" s="145"/>
      <c r="P226" s="145"/>
    </row>
    <row r="227" spans="2:16" x14ac:dyDescent="0.3">
      <c r="B227" s="4" t="s">
        <v>75</v>
      </c>
      <c r="C227" s="284" t="s">
        <v>895</v>
      </c>
      <c r="D227" s="284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</row>
  </sheetData>
  <sheetProtection insertRows="0"/>
  <mergeCells count="199">
    <mergeCell ref="E169:F169"/>
    <mergeCell ref="E170:F170"/>
    <mergeCell ref="E171:F171"/>
    <mergeCell ref="A186:A207"/>
    <mergeCell ref="A72:A91"/>
    <mergeCell ref="E163:F163"/>
    <mergeCell ref="E164:F164"/>
    <mergeCell ref="E165:F165"/>
    <mergeCell ref="E166:F166"/>
    <mergeCell ref="E167:F167"/>
    <mergeCell ref="E168:F168"/>
    <mergeCell ref="E157:F157"/>
    <mergeCell ref="E158:F158"/>
    <mergeCell ref="E159:F159"/>
    <mergeCell ref="E160:F160"/>
    <mergeCell ref="E161:F161"/>
    <mergeCell ref="E162:F162"/>
    <mergeCell ref="E151:F151"/>
    <mergeCell ref="E152:F152"/>
    <mergeCell ref="E153:F153"/>
    <mergeCell ref="E154:F154"/>
    <mergeCell ref="E155:F155"/>
    <mergeCell ref="E156:F156"/>
    <mergeCell ref="E145:F145"/>
    <mergeCell ref="E146:F146"/>
    <mergeCell ref="E147:F147"/>
    <mergeCell ref="E148:F148"/>
    <mergeCell ref="E149:F149"/>
    <mergeCell ref="E150:F150"/>
    <mergeCell ref="E139:F139"/>
    <mergeCell ref="E140:F140"/>
    <mergeCell ref="E141:F141"/>
    <mergeCell ref="E142:F142"/>
    <mergeCell ref="E143:F143"/>
    <mergeCell ref="E144:F144"/>
    <mergeCell ref="E134:F134"/>
    <mergeCell ref="E135:F135"/>
    <mergeCell ref="E136:F136"/>
    <mergeCell ref="E137:F137"/>
    <mergeCell ref="E138:F138"/>
    <mergeCell ref="E127:F127"/>
    <mergeCell ref="E128:F128"/>
    <mergeCell ref="E129:F129"/>
    <mergeCell ref="E130:F130"/>
    <mergeCell ref="E131:F131"/>
    <mergeCell ref="E132:F132"/>
    <mergeCell ref="E125:F125"/>
    <mergeCell ref="E126:F126"/>
    <mergeCell ref="E115:F115"/>
    <mergeCell ref="E116:F116"/>
    <mergeCell ref="E117:F117"/>
    <mergeCell ref="E118:F118"/>
    <mergeCell ref="E119:F119"/>
    <mergeCell ref="E120:F120"/>
    <mergeCell ref="E133:F133"/>
    <mergeCell ref="G216:I216"/>
    <mergeCell ref="B214:E214"/>
    <mergeCell ref="E97:F97"/>
    <mergeCell ref="E98:F98"/>
    <mergeCell ref="E99:F99"/>
    <mergeCell ref="E100:F100"/>
    <mergeCell ref="E101:F101"/>
    <mergeCell ref="E102:F102"/>
    <mergeCell ref="E91:F91"/>
    <mergeCell ref="E92:F92"/>
    <mergeCell ref="E93:F93"/>
    <mergeCell ref="E94:F94"/>
    <mergeCell ref="E95:F95"/>
    <mergeCell ref="E96:F96"/>
    <mergeCell ref="E109:F109"/>
    <mergeCell ref="E110:F110"/>
    <mergeCell ref="E111:F111"/>
    <mergeCell ref="E112:F112"/>
    <mergeCell ref="E113:F113"/>
    <mergeCell ref="E114:F114"/>
    <mergeCell ref="E103:F103"/>
    <mergeCell ref="E104:F104"/>
    <mergeCell ref="E105:F105"/>
    <mergeCell ref="E106:F106"/>
    <mergeCell ref="J28:L28"/>
    <mergeCell ref="B10:L10"/>
    <mergeCell ref="K211:O211"/>
    <mergeCell ref="M216:O216"/>
    <mergeCell ref="B219:O220"/>
    <mergeCell ref="M190:O190"/>
    <mergeCell ref="M187:O187"/>
    <mergeCell ref="M193:O193"/>
    <mergeCell ref="G201:I201"/>
    <mergeCell ref="K209:O209"/>
    <mergeCell ref="K210:O210"/>
    <mergeCell ref="G202:I202"/>
    <mergeCell ref="M195:O195"/>
    <mergeCell ref="M204:O204"/>
    <mergeCell ref="B211:E211"/>
    <mergeCell ref="B210:E210"/>
    <mergeCell ref="G209:I209"/>
    <mergeCell ref="G210:I210"/>
    <mergeCell ref="G199:I199"/>
    <mergeCell ref="M206:O206"/>
    <mergeCell ref="G211:I211"/>
    <mergeCell ref="G203:I203"/>
    <mergeCell ref="G200:I200"/>
    <mergeCell ref="B216:E216"/>
    <mergeCell ref="E88:F88"/>
    <mergeCell ref="E87:F87"/>
    <mergeCell ref="E80:F80"/>
    <mergeCell ref="E81:F81"/>
    <mergeCell ref="E74:F74"/>
    <mergeCell ref="F34:G34"/>
    <mergeCell ref="H69:H70"/>
    <mergeCell ref="G198:I198"/>
    <mergeCell ref="E82:F82"/>
    <mergeCell ref="I69:I71"/>
    <mergeCell ref="E72:F72"/>
    <mergeCell ref="E73:F73"/>
    <mergeCell ref="E90:F90"/>
    <mergeCell ref="F193:G193"/>
    <mergeCell ref="E76:F76"/>
    <mergeCell ref="E77:F77"/>
    <mergeCell ref="E83:F83"/>
    <mergeCell ref="F190:G190"/>
    <mergeCell ref="E107:F107"/>
    <mergeCell ref="E108:F108"/>
    <mergeCell ref="E121:F121"/>
    <mergeCell ref="E122:F122"/>
    <mergeCell ref="E123:F123"/>
    <mergeCell ref="E124:F124"/>
    <mergeCell ref="C227:D227"/>
    <mergeCell ref="D174:F174"/>
    <mergeCell ref="C226:G226"/>
    <mergeCell ref="C224:G224"/>
    <mergeCell ref="M28:O28"/>
    <mergeCell ref="J30:K30"/>
    <mergeCell ref="B41:O43"/>
    <mergeCell ref="M69:M71"/>
    <mergeCell ref="O69:O71"/>
    <mergeCell ref="K47:M47"/>
    <mergeCell ref="B69:B71"/>
    <mergeCell ref="N51:O51"/>
    <mergeCell ref="G208:I208"/>
    <mergeCell ref="B62:O64"/>
    <mergeCell ref="G214:I214"/>
    <mergeCell ref="B215:E215"/>
    <mergeCell ref="G215:I215"/>
    <mergeCell ref="F187:G187"/>
    <mergeCell ref="F47:G47"/>
    <mergeCell ref="I66:J66"/>
    <mergeCell ref="I67:J67"/>
    <mergeCell ref="B57:E57"/>
    <mergeCell ref="E172:F172"/>
    <mergeCell ref="E86:F86"/>
    <mergeCell ref="Q200:S200"/>
    <mergeCell ref="Q201:S201"/>
    <mergeCell ref="K176:L176"/>
    <mergeCell ref="G213:I213"/>
    <mergeCell ref="B209:E209"/>
    <mergeCell ref="B7:O7"/>
    <mergeCell ref="C223:G223"/>
    <mergeCell ref="B19:L19"/>
    <mergeCell ref="B22:I22"/>
    <mergeCell ref="J22:L22"/>
    <mergeCell ref="M22:O22"/>
    <mergeCell ref="H174:K174"/>
    <mergeCell ref="B25:L25"/>
    <mergeCell ref="M25:O25"/>
    <mergeCell ref="K183:L183"/>
    <mergeCell ref="B181:D181"/>
    <mergeCell ref="N13:O13"/>
    <mergeCell ref="I13:L13"/>
    <mergeCell ref="M16:O16"/>
    <mergeCell ref="B16:L16"/>
    <mergeCell ref="B13:H13"/>
    <mergeCell ref="M19:O19"/>
    <mergeCell ref="M10:O10"/>
    <mergeCell ref="B28:I28"/>
    <mergeCell ref="N1:O1"/>
    <mergeCell ref="N2:O2"/>
    <mergeCell ref="F176:H176"/>
    <mergeCell ref="F181:H181"/>
    <mergeCell ref="F178:H178"/>
    <mergeCell ref="N47:O47"/>
    <mergeCell ref="C69:C71"/>
    <mergeCell ref="Q198:S198"/>
    <mergeCell ref="Q199:S199"/>
    <mergeCell ref="D69:D71"/>
    <mergeCell ref="E69:F71"/>
    <mergeCell ref="E75:F75"/>
    <mergeCell ref="E78:F78"/>
    <mergeCell ref="P69:P71"/>
    <mergeCell ref="L69:L71"/>
    <mergeCell ref="G69:G71"/>
    <mergeCell ref="K69:K71"/>
    <mergeCell ref="J69:J71"/>
    <mergeCell ref="E89:F89"/>
    <mergeCell ref="N69:N71"/>
    <mergeCell ref="E79:F79"/>
    <mergeCell ref="E85:F85"/>
    <mergeCell ref="E84:F84"/>
    <mergeCell ref="E4:J4"/>
  </mergeCells>
  <phoneticPr fontId="25" type="noConversion"/>
  <conditionalFormatting sqref="B13">
    <cfRule type="cellIs" dxfId="98" priority="36" stopIfTrue="1" operator="equal">
      <formula>0</formula>
    </cfRule>
  </conditionalFormatting>
  <conditionalFormatting sqref="B174">
    <cfRule type="expression" dxfId="97" priority="13" stopIfTrue="1">
      <formula>OR(programa=$A$5,programa=$A$6)</formula>
    </cfRule>
  </conditionalFormatting>
  <conditionalFormatting sqref="B7:C7">
    <cfRule type="cellIs" dxfId="96" priority="39" stopIfTrue="1" operator="equal">
      <formula>0</formula>
    </cfRule>
  </conditionalFormatting>
  <conditionalFormatting sqref="B10:C10">
    <cfRule type="cellIs" dxfId="95" priority="38" stopIfTrue="1" operator="equal">
      <formula>0</formula>
    </cfRule>
  </conditionalFormatting>
  <conditionalFormatting sqref="B16:C16">
    <cfRule type="cellIs" dxfId="94" priority="28" stopIfTrue="1" operator="equal">
      <formula>0</formula>
    </cfRule>
  </conditionalFormatting>
  <conditionalFormatting sqref="B19:C19 B22:C22 J22 B28:C28 J28">
    <cfRule type="cellIs" dxfId="93" priority="22" stopIfTrue="1" operator="equal">
      <formula>0</formula>
    </cfRule>
  </conditionalFormatting>
  <conditionalFormatting sqref="B25:C25">
    <cfRule type="cellIs" dxfId="92" priority="2" stopIfTrue="1" operator="equal">
      <formula>0</formula>
    </cfRule>
  </conditionalFormatting>
  <conditionalFormatting sqref="B186:C186 E187 I187 L187:M187 P187:P188 K188:M188">
    <cfRule type="expression" dxfId="91" priority="219" stopIfTrue="1">
      <formula>OR(programa=$A$5,programa=$A$6)</formula>
    </cfRule>
  </conditionalFormatting>
  <conditionalFormatting sqref="B192:C192 E193:J193 L193:M193 P193:P194">
    <cfRule type="expression" dxfId="90" priority="221" stopIfTrue="1">
      <formula>OR(MCMV=0,programa=$A$9)</formula>
    </cfRule>
  </conditionalFormatting>
  <conditionalFormatting sqref="B179:D179 O179:P179">
    <cfRule type="expression" dxfId="89" priority="8" stopIfTrue="1">
      <formula>$F$34="loteamento"</formula>
    </cfRule>
  </conditionalFormatting>
  <conditionalFormatting sqref="B57:E57">
    <cfRule type="expression" dxfId="88" priority="17" stopIfTrue="1">
      <formula>$F$30&lt;&gt;"sim"</formula>
    </cfRule>
  </conditionalFormatting>
  <conditionalFormatting sqref="B190:M190">
    <cfRule type="expression" dxfId="87" priority="59" stopIfTrue="1">
      <formula>$N$189="não"</formula>
    </cfRule>
    <cfRule type="expression" dxfId="86" priority="58" stopIfTrue="1">
      <formula>programa="Alocação de Recursos em Construção"</formula>
    </cfRule>
  </conditionalFormatting>
  <conditionalFormatting sqref="B191:P191 P190">
    <cfRule type="expression" dxfId="85" priority="195" stopIfTrue="1">
      <formula>$N$189="não"</formula>
    </cfRule>
  </conditionalFormatting>
  <conditionalFormatting sqref="B191:P191">
    <cfRule type="expression" dxfId="84" priority="194" stopIfTrue="1">
      <formula>programa="Alocação de Recursos em Construção"</formula>
    </cfRule>
  </conditionalFormatting>
  <conditionalFormatting sqref="E49">
    <cfRule type="expression" dxfId="83" priority="197" stopIfTrue="1">
      <formula>AND(#REF!&lt;&gt;"sim",#REF!&gt;"0")</formula>
    </cfRule>
  </conditionalFormatting>
  <conditionalFormatting sqref="E177 M177:P177">
    <cfRule type="expression" dxfId="82" priority="9" stopIfTrue="1">
      <formula>$F$34="loteamento"</formula>
    </cfRule>
  </conditionalFormatting>
  <conditionalFormatting sqref="E181 I180:P180 M181:P181 E184 O185:P185">
    <cfRule type="expression" dxfId="81" priority="173" stopIfTrue="1">
      <formula>$F$34="loteamento"</formula>
    </cfRule>
  </conditionalFormatting>
  <conditionalFormatting sqref="E181">
    <cfRule type="cellIs" dxfId="80" priority="16" stopIfTrue="1" operator="equal">
      <formula>"(escolha)"</formula>
    </cfRule>
  </conditionalFormatting>
  <conditionalFormatting sqref="E4:J4 F34:H34 F45 F47 K47">
    <cfRule type="expression" dxfId="79" priority="180" stopIfTrue="1">
      <formula>TRIM(E4)&lt;"0"</formula>
    </cfRule>
  </conditionalFormatting>
  <conditionalFormatting sqref="E186:J186 L186:P186 K186:K187 D186:D189 B187:C189 E188:J189 K189 P189:P190 B195:I201 J197:P201 J204:M204 P204 B204:I207 J205:P205">
    <cfRule type="expression" dxfId="78" priority="188" stopIfTrue="1">
      <formula>programa="Alocação de Recursos em Construção"</formula>
    </cfRule>
  </conditionalFormatting>
  <conditionalFormatting sqref="E192:J192 L192:P192 D192:D194 K192:K194 B193:C194 E194:J194 L194 B202:E203 J202:P203">
    <cfRule type="expression" dxfId="77" priority="193" stopIfTrue="1">
      <formula>MCMV=0</formula>
    </cfRule>
  </conditionalFormatting>
  <conditionalFormatting sqref="F30">
    <cfRule type="expression" dxfId="76" priority="32">
      <formula>TRIM(F30)&lt;"0"</formula>
    </cfRule>
    <cfRule type="cellIs" dxfId="75" priority="30" stopIfTrue="1" operator="equal">
      <formula>"SIM"</formula>
    </cfRule>
    <cfRule type="expression" dxfId="74" priority="31">
      <formula>F30&lt;"0"</formula>
    </cfRule>
  </conditionalFormatting>
  <conditionalFormatting sqref="F176">
    <cfRule type="expression" dxfId="73" priority="179" stopIfTrue="1">
      <formula>F176&lt;"0"</formula>
    </cfRule>
  </conditionalFormatting>
  <conditionalFormatting sqref="F187:H187">
    <cfRule type="expression" dxfId="72" priority="64" stopIfTrue="1">
      <formula>programa="Alocação de Recursos em Construção"</formula>
    </cfRule>
    <cfRule type="expression" dxfId="71" priority="65" stopIfTrue="1">
      <formula>INFRA="não"</formula>
    </cfRule>
  </conditionalFormatting>
  <conditionalFormatting sqref="F202:I203">
    <cfRule type="expression" dxfId="70" priority="220" stopIfTrue="1">
      <formula>OR(MCMV=0,programa=$A$6)</formula>
    </cfRule>
  </conditionalFormatting>
  <conditionalFormatting sqref="G30:J30 L30:N30">
    <cfRule type="expression" dxfId="69" priority="24" stopIfTrue="1">
      <formula>$F$30="não"</formula>
    </cfRule>
  </conditionalFormatting>
  <conditionalFormatting sqref="I13">
    <cfRule type="cellIs" dxfId="68" priority="35" stopIfTrue="1" operator="equal">
      <formula>0</formula>
    </cfRule>
  </conditionalFormatting>
  <conditionalFormatting sqref="I183:J183 M183:P184">
    <cfRule type="expression" dxfId="67" priority="5" stopIfTrue="1">
      <formula>$F$34="loteamento"</formula>
    </cfRule>
  </conditionalFormatting>
  <conditionalFormatting sqref="I183:L183">
    <cfRule type="expression" dxfId="66" priority="7" stopIfTrue="1">
      <formula>$E$181="doação"</formula>
    </cfRule>
  </conditionalFormatting>
  <conditionalFormatting sqref="J30 L30:N30">
    <cfRule type="cellIs" dxfId="65" priority="29" stopIfTrue="1" operator="equal">
      <formula>0</formula>
    </cfRule>
  </conditionalFormatting>
  <conditionalFormatting sqref="J183">
    <cfRule type="expression" dxfId="64" priority="4" stopIfTrue="1">
      <formula>AND($F$176&lt;&gt;"outra",$F$176&gt;"0")</formula>
    </cfRule>
  </conditionalFormatting>
  <conditionalFormatting sqref="J176:K176 M176:O176">
    <cfRule type="expression" dxfId="63" priority="175" stopIfTrue="1">
      <formula>AND($F$176&lt;&gt;"outra",$F$176&gt;"0")</formula>
    </cfRule>
  </conditionalFormatting>
  <conditionalFormatting sqref="J195:M195 P195 J196:P196 J206:M206 P206 J207:P207">
    <cfRule type="expression" dxfId="62" priority="189" stopIfTrue="1">
      <formula>programa="Alocação de Recursos em Construção"</formula>
    </cfRule>
  </conditionalFormatting>
  <conditionalFormatting sqref="K49">
    <cfRule type="expression" dxfId="61" priority="196" stopIfTrue="1">
      <formula>AND(#REF!&lt;&gt;"sim",#REF!&gt;"0")</formula>
    </cfRule>
  </conditionalFormatting>
  <conditionalFormatting sqref="L189:N189">
    <cfRule type="expression" dxfId="60" priority="44" stopIfTrue="1">
      <formula>OR(programa="Alocação de Recursos em Construção",programa="MCMV - Recursos FAR",programa="MCMV Entidades - Recursos FDS")</formula>
    </cfRule>
  </conditionalFormatting>
  <conditionalFormatting sqref="L65:P67">
    <cfRule type="expression" dxfId="59" priority="76">
      <formula>$F$32="não"</formula>
    </cfRule>
  </conditionalFormatting>
  <conditionalFormatting sqref="M10">
    <cfRule type="cellIs" dxfId="58" priority="37" stopIfTrue="1" operator="equal">
      <formula>0</formula>
    </cfRule>
  </conditionalFormatting>
  <conditionalFormatting sqref="M16">
    <cfRule type="cellIs" dxfId="57" priority="26" stopIfTrue="1" operator="equal">
      <formula>0</formula>
    </cfRule>
  </conditionalFormatting>
  <conditionalFormatting sqref="M19">
    <cfRule type="cellIs" dxfId="56" priority="3" stopIfTrue="1" operator="equal">
      <formula>0</formula>
    </cfRule>
  </conditionalFormatting>
  <conditionalFormatting sqref="M25">
    <cfRule type="cellIs" dxfId="55" priority="1" stopIfTrue="1" operator="equal">
      <formula>0</formula>
    </cfRule>
  </conditionalFormatting>
  <conditionalFormatting sqref="M28">
    <cfRule type="cellIs" dxfId="54" priority="41" stopIfTrue="1" operator="equal">
      <formula>0</formula>
    </cfRule>
  </conditionalFormatting>
  <conditionalFormatting sqref="M13:N13">
    <cfRule type="cellIs" dxfId="53" priority="33" stopIfTrue="1" operator="equal">
      <formula>0</formula>
    </cfRule>
  </conditionalFormatting>
  <conditionalFormatting sqref="M49:N49">
    <cfRule type="expression" dxfId="52" priority="53" stopIfTrue="1">
      <formula>AND(#REF!&lt;&gt;"sim",#REF!&gt;"0")</formula>
    </cfRule>
  </conditionalFormatting>
  <conditionalFormatting sqref="M194:O194">
    <cfRule type="expression" dxfId="51" priority="48" stopIfTrue="1">
      <formula>OR(MCMV=0,programa=$A$9)</formula>
    </cfRule>
  </conditionalFormatting>
  <conditionalFormatting sqref="N49">
    <cfRule type="expression" dxfId="50" priority="52" stopIfTrue="1">
      <formula>TRIM(N49)&lt;"0"</formula>
    </cfRule>
  </conditionalFormatting>
  <conditionalFormatting sqref="N189">
    <cfRule type="expression" dxfId="49" priority="46" stopIfTrue="1">
      <formula>INFRA&lt;"0"</formula>
    </cfRule>
  </conditionalFormatting>
  <conditionalFormatting sqref="N49:O49">
    <cfRule type="expression" dxfId="48" priority="50" stopIfTrue="1">
      <formula>AND(#REF!&lt;&gt;"sim",#REF!&gt;"0")</formula>
    </cfRule>
  </conditionalFormatting>
  <conditionalFormatting sqref="N182:O182">
    <cfRule type="expression" dxfId="47" priority="6" stopIfTrue="1">
      <formula>AND($F$176&lt;&gt;"outra",$F$176&gt;"0")</formula>
    </cfRule>
  </conditionalFormatting>
  <conditionalFormatting sqref="N188:O188">
    <cfRule type="expression" dxfId="46" priority="47" stopIfTrue="1">
      <formula>programa="Alocação de Recursos em Construção"</formula>
    </cfRule>
  </conditionalFormatting>
  <conditionalFormatting sqref="O49">
    <cfRule type="expression" dxfId="45" priority="49" stopIfTrue="1">
      <formula>TRIM(O49)&lt;"0"</formula>
    </cfRule>
  </conditionalFormatting>
  <conditionalFormatting sqref="Q51:Q52">
    <cfRule type="expression" dxfId="44" priority="191" stopIfTrue="1">
      <formula>"$E$40=""loteamento"""</formula>
    </cfRule>
  </conditionalFormatting>
  <conditionalFormatting sqref="Q198">
    <cfRule type="expression" dxfId="43" priority="21" stopIfTrue="1">
      <formula>$G$246&gt;$N$261*0.2</formula>
    </cfRule>
  </conditionalFormatting>
  <conditionalFormatting sqref="Q199:Q200">
    <cfRule type="expression" dxfId="42" priority="18" stopIfTrue="1">
      <formula>OR($G$247&lt;$N$244*0.005,$G$247&gt;$N$244*0.05)</formula>
    </cfRule>
  </conditionalFormatting>
  <conditionalFormatting sqref="Q201">
    <cfRule type="expression" dxfId="41" priority="19" stopIfTrue="1">
      <formula>OR($G$249&lt;$N$261*0.04,$G$249&gt;$N$261*0.08)</formula>
    </cfRule>
  </conditionalFormatting>
  <conditionalFormatting sqref="Q202:Q204">
    <cfRule type="expression" dxfId="40" priority="158" stopIfTrue="1">
      <formula>$E$4=$A$5</formula>
    </cfRule>
  </conditionalFormatting>
  <dataValidations disablePrompts="1" count="11">
    <dataValidation type="list" allowBlank="1" showInputMessage="1" showErrorMessage="1" sqref="N189 F30" xr:uid="{DF7DE74E-C674-4950-83F9-AF52BF87E425}">
      <formula1>"(escolha), sim, não"</formula1>
    </dataValidation>
    <dataValidation type="list" allowBlank="1" showInputMessage="1" showErrorMessage="1" sqref="F176" xr:uid="{7A3BD69A-8940-48D0-8FA6-1C76EE7BEFC4}">
      <formula1>"(escolha), SINAPI, CUB, outra"</formula1>
    </dataValidation>
    <dataValidation type="list" allowBlank="1" showInputMessage="1" showErrorMessage="1" sqref="F45" xr:uid="{C229E6F5-90AF-45F8-AF99-63E505B17FE2}">
      <formula1>"(escolha), alto, normal, baixo, mínimo"</formula1>
    </dataValidation>
    <dataValidation type="list" allowBlank="1" showInputMessage="1" showErrorMessage="1" sqref="O49" xr:uid="{A324D9D4-2B47-4524-B059-07A3AEB4876C}">
      <formula1>"(escolha), norte, sul"</formula1>
    </dataValidation>
    <dataValidation type="list" allowBlank="1" showInputMessage="1" showErrorMessage="1" sqref="F47:H47" xr:uid="{B056AF2A-ADA2-4B2B-AA5D-45D900CC2E3A}">
      <formula1>"(escolha), convencional, não convencional, inovador"</formula1>
    </dataValidation>
    <dataValidation type="list" allowBlank="1" showInputMessage="1" showErrorMessage="1" sqref="F34:H34" xr:uid="{0EDF663D-E1FE-4DED-8EC9-26C5D71B035F}">
      <formula1>"(escolha), condomínio, loteamento"</formula1>
    </dataValidation>
    <dataValidation type="list" allowBlank="1" showInputMessage="1" showErrorMessage="1" sqref="E4:J4" xr:uid="{AC1BBE2A-7839-479E-883D-EEDBB87E65B5}">
      <formula1>$A$1:$A$10</formula1>
    </dataValidation>
    <dataValidation type="list" showInputMessage="1" showErrorMessage="1" sqref="E181" xr:uid="{764BF950-A37F-492B-815F-E4286339FC16}">
      <formula1>"(escolha),Aquisição, Doação"</formula1>
    </dataValidation>
    <dataValidation type="list" allowBlank="1" showInputMessage="1" showErrorMessage="1" sqref="K47:M47" xr:uid="{377976EB-618F-42F4-829B-F95E2213CEF0}">
      <formula1>$A$41:$A$51</formula1>
    </dataValidation>
    <dataValidation type="list" allowBlank="1" showInputMessage="1" showErrorMessage="1" sqref="P47" xr:uid="{20B7E778-237B-402A-9C67-DF7691C69888}">
      <formula1>$A$41:$A$50</formula1>
    </dataValidation>
    <dataValidation type="list" allowBlank="1" showInputMessage="1" showErrorMessage="1" sqref="C72:C171" xr:uid="{47877017-03A8-4FB1-87D5-E25D5AB1DB58}">
      <formula1>"C"</formula1>
    </dataValidation>
  </dataValidations>
  <hyperlinks>
    <hyperlink ref="M28" r:id="rId1" display="joaovitorcabral94@gmail.com" xr:uid="{30022C74-DE0F-4540-969F-597AC70964D2}"/>
  </hyperlinks>
  <printOptions horizontalCentered="1"/>
  <pageMargins left="0.35433070866141736" right="0.47244094488188981" top="0.78740157480314965" bottom="0.78740157480314965" header="0.31496062992125984" footer="0.31496062992125984"/>
  <pageSetup paperSize="9" scale="59" fitToHeight="3" orientation="portrait" horizontalDpi="4294967295" verticalDpi="4294967295" r:id="rId2"/>
  <headerFooter>
    <oddHeader>&amp;R&amp;"Arial,Normal"&amp;9V15_vigência 01.08.2022</oddHeader>
    <oddFooter>&amp;C&amp;8Página &amp;P de &amp;N</oddFooter>
  </headerFooter>
  <rowBreaks count="1" manualBreakCount="1">
    <brk id="68" max="12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" r:id="rId5" name="Label 409">
              <controlPr defaultSize="0" autoFill="0" autoLine="0" autoPict="0" macro="[0]!ExibLinFRE">
                <anchor moveWithCells="1" sizeWithCells="1">
                  <from>
                    <xdr:col>16</xdr:col>
                    <xdr:colOff>571500</xdr:colOff>
                    <xdr:row>71</xdr:row>
                    <xdr:rowOff>152400</xdr:rowOff>
                  </from>
                  <to>
                    <xdr:col>18</xdr:col>
                    <xdr:colOff>45720</xdr:colOff>
                    <xdr:row>73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6" name="Label 410">
              <controlPr defaultSize="0" autoFill="0" autoLine="0" autoPict="0" macro="[0]!OcultLinFRE">
                <anchor moveWithCells="1" sizeWithCells="1">
                  <from>
                    <xdr:col>16</xdr:col>
                    <xdr:colOff>571500</xdr:colOff>
                    <xdr:row>74</xdr:row>
                    <xdr:rowOff>68580</xdr:rowOff>
                  </from>
                  <to>
                    <xdr:col>18</xdr:col>
                    <xdr:colOff>45720</xdr:colOff>
                    <xdr:row>76</xdr:row>
                    <xdr:rowOff>243840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6377B-2D7A-40E7-B1F3-CF8F3A099ADF}">
  <sheetPr codeName="Plan3">
    <tabColor theme="9" tint="0.79998168889431442"/>
    <pageSetUpPr fitToPage="1"/>
  </sheetPr>
  <dimension ref="A1:AL93"/>
  <sheetViews>
    <sheetView showGridLines="0" view="pageBreakPreview" topLeftCell="A6" zoomScale="130" zoomScaleNormal="100" zoomScaleSheetLayoutView="130" workbookViewId="0">
      <selection activeCell="E1" sqref="E1"/>
    </sheetView>
  </sheetViews>
  <sheetFormatPr defaultRowHeight="14.4" x14ac:dyDescent="0.3"/>
  <cols>
    <col min="1" max="1" width="2.33203125" customWidth="1"/>
    <col min="9" max="9" width="10.109375" bestFit="1" customWidth="1"/>
    <col min="10" max="10" width="11.109375" bestFit="1" customWidth="1"/>
    <col min="12" max="12" width="14.44140625" customWidth="1"/>
    <col min="13" max="14" width="9" customWidth="1"/>
    <col min="16" max="16" width="4.33203125" customWidth="1"/>
    <col min="17" max="17" width="9.109375" style="1" customWidth="1"/>
    <col min="18" max="18" width="12.33203125" style="1" customWidth="1"/>
    <col min="19" max="19" width="9.109375" style="1" customWidth="1"/>
    <col min="20" max="34" width="9.109375" style="1" hidden="1" customWidth="1"/>
    <col min="35" max="35" width="9.44140625" hidden="1" customWidth="1"/>
    <col min="36" max="36" width="9.109375" hidden="1" customWidth="1"/>
    <col min="37" max="37" width="13.109375" hidden="1" customWidth="1"/>
    <col min="38" max="38" width="9.109375" hidden="1" customWidth="1"/>
  </cols>
  <sheetData>
    <row r="1" spans="1:12" ht="15.6" x14ac:dyDescent="0.3">
      <c r="A1" s="2" t="s">
        <v>60</v>
      </c>
      <c r="E1" s="144" t="s">
        <v>820</v>
      </c>
      <c r="K1" s="242" t="s">
        <v>857</v>
      </c>
      <c r="L1" s="243"/>
    </row>
    <row r="2" spans="1:12" x14ac:dyDescent="0.3">
      <c r="A2" s="2" t="s">
        <v>78</v>
      </c>
      <c r="E2" s="3"/>
      <c r="G2" s="147" t="str">
        <f>FRE!$D$4</f>
        <v>Programa:</v>
      </c>
      <c r="H2" s="185" t="str">
        <f>FRE!$E$4</f>
        <v>Apoio à Produção de Imóveis - Pessoa Jurídica</v>
      </c>
      <c r="K2" s="244" t="s">
        <v>858</v>
      </c>
      <c r="L2" s="245"/>
    </row>
    <row r="3" spans="1:12" x14ac:dyDescent="0.3">
      <c r="A3" s="18" t="s">
        <v>79</v>
      </c>
    </row>
    <row r="4" spans="1:12" x14ac:dyDescent="0.3">
      <c r="A4" s="18" t="s">
        <v>80</v>
      </c>
    </row>
    <row r="5" spans="1:12" x14ac:dyDescent="0.3">
      <c r="A5" s="18" t="s">
        <v>81</v>
      </c>
    </row>
    <row r="6" spans="1:12" x14ac:dyDescent="0.3">
      <c r="A6" s="143"/>
    </row>
    <row r="7" spans="1:12" x14ac:dyDescent="0.3">
      <c r="A7" s="143"/>
    </row>
    <row r="20" spans="2:37" x14ac:dyDescent="0.3">
      <c r="O20" s="25"/>
      <c r="P20" s="25"/>
      <c r="Q20" s="25"/>
      <c r="R20" s="25"/>
      <c r="S20" s="25"/>
      <c r="T20" s="22" t="str">
        <f>A2</f>
        <v>Habitacional horizontal</v>
      </c>
      <c r="U20" s="22"/>
      <c r="V20" s="22"/>
      <c r="W20" s="23"/>
      <c r="X20" s="22" t="str">
        <f>A3</f>
        <v>Vertical: habit. / salas / misto</v>
      </c>
      <c r="Y20" s="24"/>
      <c r="Z20" s="22"/>
      <c r="AA20" s="23"/>
      <c r="AB20" s="22" t="str">
        <f>A4</f>
        <v>Vertical andar livre</v>
      </c>
      <c r="AC20" s="24"/>
      <c r="AD20" s="22"/>
      <c r="AE20" s="25"/>
      <c r="AF20" s="22" t="str">
        <f>A5</f>
        <v>Vertical parede de concreto</v>
      </c>
      <c r="AG20" s="24"/>
      <c r="AH20" s="22"/>
    </row>
    <row r="21" spans="2:37" ht="15" customHeight="1" x14ac:dyDescent="0.3">
      <c r="O21" s="25"/>
      <c r="P21" s="33"/>
      <c r="Q21" s="27"/>
      <c r="R21" s="27"/>
      <c r="S21" s="27"/>
      <c r="T21" s="335" t="s">
        <v>191</v>
      </c>
      <c r="U21" s="335" t="s">
        <v>192</v>
      </c>
      <c r="V21" s="335" t="s">
        <v>193</v>
      </c>
      <c r="W21" s="25"/>
      <c r="X21" s="335" t="s">
        <v>191</v>
      </c>
      <c r="Y21" s="335" t="s">
        <v>192</v>
      </c>
      <c r="Z21" s="335" t="s">
        <v>193</v>
      </c>
      <c r="AA21" s="25"/>
      <c r="AB21" s="335" t="s">
        <v>191</v>
      </c>
      <c r="AC21" s="335" t="s">
        <v>192</v>
      </c>
      <c r="AD21" s="335" t="s">
        <v>193</v>
      </c>
      <c r="AE21" s="27"/>
      <c r="AF21" s="335" t="s">
        <v>191</v>
      </c>
      <c r="AG21" s="335" t="s">
        <v>192</v>
      </c>
      <c r="AH21" s="335" t="s">
        <v>193</v>
      </c>
    </row>
    <row r="22" spans="2:37" x14ac:dyDescent="0.3">
      <c r="B22" s="4" t="s">
        <v>77</v>
      </c>
      <c r="C22" s="316" t="s">
        <v>78</v>
      </c>
      <c r="D22" s="316"/>
      <c r="E22" s="316"/>
      <c r="I22" s="18" t="str">
        <f>IF(FRE!$A$12=1,"sim",FRE!N189)</f>
        <v>não</v>
      </c>
      <c r="O22" s="128"/>
      <c r="P22" s="128"/>
      <c r="Q22" s="128"/>
      <c r="R22" s="27"/>
      <c r="S22" s="27"/>
      <c r="T22" s="335"/>
      <c r="U22" s="335"/>
      <c r="V22" s="335"/>
      <c r="W22" s="25"/>
      <c r="X22" s="335"/>
      <c r="Y22" s="335"/>
      <c r="Z22" s="335"/>
      <c r="AA22" s="25"/>
      <c r="AB22" s="335"/>
      <c r="AC22" s="335"/>
      <c r="AD22" s="335"/>
      <c r="AE22" s="25"/>
      <c r="AF22" s="335"/>
      <c r="AG22" s="335"/>
      <c r="AH22" s="335"/>
    </row>
    <row r="23" spans="2:37" ht="8.1" customHeight="1" x14ac:dyDescent="0.3">
      <c r="O23" s="34"/>
      <c r="P23" s="27"/>
      <c r="Q23" s="27"/>
      <c r="R23" s="27"/>
      <c r="S23" s="27"/>
      <c r="T23" s="335"/>
      <c r="U23" s="335"/>
      <c r="V23" s="335"/>
      <c r="W23" s="26"/>
      <c r="X23" s="335"/>
      <c r="Y23" s="335"/>
      <c r="Z23" s="335"/>
      <c r="AA23" s="27"/>
      <c r="AB23" s="335"/>
      <c r="AC23" s="335"/>
      <c r="AD23" s="335"/>
      <c r="AE23" s="25"/>
      <c r="AF23" s="335"/>
      <c r="AG23" s="335"/>
      <c r="AH23" s="335"/>
    </row>
    <row r="24" spans="2:37" s="19" customFormat="1" ht="18" customHeight="1" x14ac:dyDescent="0.25">
      <c r="B24" s="187" t="s">
        <v>82</v>
      </c>
      <c r="C24" s="188" t="s">
        <v>83</v>
      </c>
      <c r="D24" s="189"/>
      <c r="E24" s="189"/>
      <c r="F24" s="189"/>
      <c r="G24" s="189"/>
      <c r="H24" s="189"/>
      <c r="I24" s="189"/>
      <c r="J24" s="189"/>
      <c r="K24" s="190" t="s">
        <v>172</v>
      </c>
      <c r="L24" s="190" t="s">
        <v>173</v>
      </c>
      <c r="M24" s="48" t="s">
        <v>200</v>
      </c>
      <c r="N24" s="49"/>
      <c r="O24" s="331" t="str">
        <f>IF(C22="(escolha)","(escolha a tipologia)",C22)</f>
        <v>Habitacional horizontal</v>
      </c>
      <c r="P24" s="331"/>
      <c r="Q24" s="331"/>
      <c r="R24" s="30" t="s">
        <v>194</v>
      </c>
      <c r="S24" s="29"/>
      <c r="T24" s="335"/>
      <c r="U24" s="335"/>
      <c r="V24" s="335"/>
      <c r="W24" s="25"/>
      <c r="X24" s="335"/>
      <c r="Y24" s="335"/>
      <c r="Z24" s="335"/>
      <c r="AA24" s="25"/>
      <c r="AB24" s="335"/>
      <c r="AC24" s="335"/>
      <c r="AD24" s="335"/>
      <c r="AE24" s="27"/>
      <c r="AF24" s="335"/>
      <c r="AG24" s="335"/>
      <c r="AH24" s="335"/>
      <c r="AI24" s="19" t="s">
        <v>794</v>
      </c>
      <c r="AJ24" s="19" t="s">
        <v>795</v>
      </c>
      <c r="AK24" s="19" t="s">
        <v>818</v>
      </c>
    </row>
    <row r="25" spans="2:37" s="19" customFormat="1" ht="11.1" customHeight="1" x14ac:dyDescent="0.25">
      <c r="B25" s="78">
        <v>1</v>
      </c>
      <c r="C25" s="57" t="s">
        <v>688</v>
      </c>
      <c r="D25" s="57"/>
      <c r="E25" s="57"/>
      <c r="F25" s="57"/>
      <c r="G25" s="57"/>
      <c r="H25" s="57"/>
      <c r="I25" s="57"/>
      <c r="J25" s="57"/>
      <c r="K25" s="191">
        <f>SUM(K26:K35)</f>
        <v>0.16</v>
      </c>
      <c r="L25" s="192">
        <f>SUM(L26:L35)</f>
        <v>0</v>
      </c>
      <c r="M25" s="129">
        <f xml:space="preserve"> IF(SUM($L$25,$L$36,$L$39,$L$40,$L$45,$L$48,$L$55,$L$62,$L$71,$L$75)=0,0,L25/SUM($L$25,$L$36,$L$39,$L$40,$L$45,$L$48,$L$55,$L$62,$L$71,$L$75))</f>
        <v>0</v>
      </c>
      <c r="N25" s="50"/>
      <c r="O25" s="35"/>
      <c r="P25" s="36"/>
      <c r="Q25" s="37"/>
      <c r="R25" s="38"/>
      <c r="S25" s="29"/>
      <c r="T25" s="28"/>
      <c r="U25" s="28"/>
      <c r="V25" s="28"/>
      <c r="W25" s="29"/>
      <c r="X25" s="28"/>
      <c r="Y25" s="28"/>
      <c r="Z25" s="28"/>
      <c r="AA25" s="27"/>
      <c r="AB25" s="28"/>
      <c r="AC25" s="28"/>
      <c r="AD25" s="28"/>
      <c r="AE25" s="27"/>
      <c r="AF25" s="28"/>
      <c r="AG25" s="28"/>
      <c r="AH25" s="28"/>
      <c r="AK25" s="140">
        <f>SUM(AK26:AK35)</f>
        <v>0</v>
      </c>
    </row>
    <row r="26" spans="2:37" s="19" customFormat="1" ht="11.1" customHeight="1" x14ac:dyDescent="0.25">
      <c r="B26" s="68" t="s">
        <v>84</v>
      </c>
      <c r="C26" s="56" t="s">
        <v>85</v>
      </c>
      <c r="D26" s="56"/>
      <c r="E26" s="56"/>
      <c r="F26" s="56"/>
      <c r="G26" s="56"/>
      <c r="H26" s="56"/>
      <c r="I26" s="56"/>
      <c r="J26" s="193"/>
      <c r="K26" s="194">
        <v>7.6E-3</v>
      </c>
      <c r="L26" s="195">
        <f>ROUND(K26*FRE!$M$187,2)</f>
        <v>0</v>
      </c>
      <c r="M26" s="130"/>
      <c r="N26" s="20"/>
      <c r="O26" s="39">
        <f t="shared" ref="O26:O35" si="0">IF($O$24=$T$20,T26,IF($O$24=$X$20,X26,IF($O$24=$AB$20,AB26,AF26)))</f>
        <v>5.0000000000000001E-3</v>
      </c>
      <c r="P26" s="40" t="s">
        <v>195</v>
      </c>
      <c r="Q26" s="41">
        <f>IF(OR(FRE!$N$189="não",FRE!$N$189&lt;"0"),   IF($O$24=$T$20,U26,IF($O$24=$X$20,Y26,IF($O$24=$AB$20,AC26,AG26))),  IF($O$24=$T$20,V26,IF($O$24=$X$20,Z26,IF($O$24=$AB$20,AD26,AH26))))</f>
        <v>7.6E-3</v>
      </c>
      <c r="R26" s="42" t="str">
        <f>IF(K26&gt;Q26,"Excedeu limites",IF(K26&lt;O26,"Abaixo do limite","ok"))</f>
        <v>ok</v>
      </c>
      <c r="S26" s="29"/>
      <c r="T26" s="30">
        <v>5.0000000000000001E-3</v>
      </c>
      <c r="U26" s="30">
        <v>7.6E-3</v>
      </c>
      <c r="V26" s="30">
        <v>7.6E-3</v>
      </c>
      <c r="W26" s="29"/>
      <c r="X26" s="30">
        <v>5.0000000000000001E-3</v>
      </c>
      <c r="Y26" s="30">
        <v>7.6E-3</v>
      </c>
      <c r="Z26" s="30">
        <v>7.6E-3</v>
      </c>
      <c r="AA26" s="27"/>
      <c r="AB26" s="30">
        <v>5.0000000000000001E-3</v>
      </c>
      <c r="AC26" s="30">
        <v>7.6E-3</v>
      </c>
      <c r="AD26" s="30">
        <v>7.6E-3</v>
      </c>
      <c r="AE26" s="27"/>
      <c r="AF26" s="30">
        <v>5.0000000000000001E-3</v>
      </c>
      <c r="AG26" s="30">
        <v>7.6E-3</v>
      </c>
      <c r="AH26" s="30">
        <v>7.6E-3</v>
      </c>
      <c r="AI26" s="137">
        <f>Orç_analítico_Hab!M19/IF(Orç_analítico_Hab!M$430=0,1,Orç_analítico_Hab!M$430)</f>
        <v>0</v>
      </c>
      <c r="AJ26" s="138">
        <f>AI26-ROUND(AI26,4)</f>
        <v>0</v>
      </c>
      <c r="AK26" s="139">
        <f>ROUND(L26,2)</f>
        <v>0</v>
      </c>
    </row>
    <row r="27" spans="2:37" s="19" customFormat="1" ht="11.1" customHeight="1" x14ac:dyDescent="0.25">
      <c r="B27" s="68" t="s">
        <v>86</v>
      </c>
      <c r="C27" s="56" t="s">
        <v>87</v>
      </c>
      <c r="D27" s="56"/>
      <c r="E27" s="56"/>
      <c r="F27" s="56"/>
      <c r="G27" s="56"/>
      <c r="H27" s="56"/>
      <c r="I27" s="56"/>
      <c r="J27" s="193"/>
      <c r="K27" s="194">
        <v>1.9E-2</v>
      </c>
      <c r="L27" s="195">
        <f>ROUND(K27*FRE!$M$187,2)</f>
        <v>0</v>
      </c>
      <c r="M27" s="130"/>
      <c r="N27" s="20"/>
      <c r="O27" s="39">
        <f t="shared" si="0"/>
        <v>1E-3</v>
      </c>
      <c r="P27" s="40" t="s">
        <v>195</v>
      </c>
      <c r="Q27" s="41">
        <f>IF(OR(FRE!$N$189="não",FRE!$N$189&lt;"0"),   IF($O$24=$T$20,U27,IF($O$24=$X$20,Y27,IF($O$24=$AB$20,AC27,AG27))),  IF($O$24=$T$20,V27,IF($O$24=$X$20,Z27,IF($O$24=$AB$20,AD27,AH27))))</f>
        <v>1.9E-2</v>
      </c>
      <c r="R27" s="42" t="str">
        <f t="shared" ref="R27:R35" si="1">IF(K27&gt;Q27,"Excedeu limites",IF(K27&lt;O27,"Abaixo do limite","ok"))</f>
        <v>ok</v>
      </c>
      <c r="S27" s="29"/>
      <c r="T27" s="30">
        <v>1E-3</v>
      </c>
      <c r="U27" s="30">
        <v>1.9E-2</v>
      </c>
      <c r="V27" s="30">
        <v>1.9E-2</v>
      </c>
      <c r="W27" s="29"/>
      <c r="X27" s="30">
        <v>1E-3</v>
      </c>
      <c r="Y27" s="30">
        <v>1.9E-2</v>
      </c>
      <c r="Z27" s="30">
        <v>1.9E-2</v>
      </c>
      <c r="AA27" s="27"/>
      <c r="AB27" s="30">
        <v>1E-3</v>
      </c>
      <c r="AC27" s="30">
        <v>1.9E-2</v>
      </c>
      <c r="AD27" s="30">
        <v>1.9E-2</v>
      </c>
      <c r="AE27" s="27"/>
      <c r="AF27" s="30">
        <v>1E-3</v>
      </c>
      <c r="AG27" s="30">
        <v>1.9E-2</v>
      </c>
      <c r="AH27" s="30">
        <v>1.9E-2</v>
      </c>
      <c r="AI27" s="137">
        <f>Orç_analítico_Hab!M20/IF(Orç_analítico_Hab!M$430=0,1,Orç_analítico_Hab!M$430)</f>
        <v>0</v>
      </c>
      <c r="AJ27" s="138">
        <f t="shared" ref="AJ27:AJ35" si="2">AI27-ROUND(AI27,4)+AJ26</f>
        <v>0</v>
      </c>
      <c r="AK27" s="139">
        <f t="shared" ref="AK27:AK39" si="3">ROUND(L27,2)</f>
        <v>0</v>
      </c>
    </row>
    <row r="28" spans="2:37" s="19" customFormat="1" ht="11.1" customHeight="1" x14ac:dyDescent="0.25">
      <c r="B28" s="68" t="s">
        <v>88</v>
      </c>
      <c r="C28" s="56" t="s">
        <v>89</v>
      </c>
      <c r="D28" s="56"/>
      <c r="E28" s="56"/>
      <c r="F28" s="56"/>
      <c r="G28" s="56"/>
      <c r="H28" s="56"/>
      <c r="I28" s="56"/>
      <c r="J28" s="193"/>
      <c r="K28" s="194">
        <v>4.0000000000000002E-4</v>
      </c>
      <c r="L28" s="195">
        <f>ROUND(K28*FRE!$M$187,2)</f>
        <v>0</v>
      </c>
      <c r="M28" s="130"/>
      <c r="N28" s="20"/>
      <c r="O28" s="39">
        <f t="shared" si="0"/>
        <v>1E-4</v>
      </c>
      <c r="P28" s="40" t="s">
        <v>195</v>
      </c>
      <c r="Q28" s="41">
        <f>IF(OR(FRE!$N$189="não",FRE!$N$189&lt;"0"),   IF($O$24=$T$20,U28,IF($O$24=$X$20,Y28,IF($O$24=$AB$20,AC28,AG28))),  IF($O$24=$T$20,V28,IF($O$24=$X$20,Z28,IF($O$24=$AB$20,AD28,AH28))))</f>
        <v>4.0000000000000002E-4</v>
      </c>
      <c r="R28" s="42" t="str">
        <f t="shared" si="1"/>
        <v>ok</v>
      </c>
      <c r="S28" s="29"/>
      <c r="T28" s="30">
        <v>1E-4</v>
      </c>
      <c r="U28" s="30">
        <v>4.0000000000000002E-4</v>
      </c>
      <c r="V28" s="30">
        <v>4.0000000000000002E-4</v>
      </c>
      <c r="W28" s="29"/>
      <c r="X28" s="30">
        <v>1E-4</v>
      </c>
      <c r="Y28" s="30">
        <v>4.0000000000000002E-4</v>
      </c>
      <c r="Z28" s="30">
        <v>4.0000000000000002E-4</v>
      </c>
      <c r="AA28" s="27"/>
      <c r="AB28" s="30">
        <v>1E-4</v>
      </c>
      <c r="AC28" s="30">
        <v>4.0000000000000002E-4</v>
      </c>
      <c r="AD28" s="30">
        <v>4.0000000000000002E-4</v>
      </c>
      <c r="AE28" s="27"/>
      <c r="AF28" s="30">
        <v>1E-4</v>
      </c>
      <c r="AG28" s="30">
        <v>4.0000000000000002E-4</v>
      </c>
      <c r="AH28" s="30">
        <v>4.0000000000000002E-4</v>
      </c>
      <c r="AI28" s="137">
        <f>Orç_analítico_Hab!M21/IF(Orç_analítico_Hab!M$430=0,1,Orç_analítico_Hab!M$430)</f>
        <v>0</v>
      </c>
      <c r="AJ28" s="138">
        <f t="shared" si="2"/>
        <v>0</v>
      </c>
      <c r="AK28" s="139">
        <f t="shared" si="3"/>
        <v>0</v>
      </c>
    </row>
    <row r="29" spans="2:37" s="19" customFormat="1" ht="11.1" customHeight="1" x14ac:dyDescent="0.25">
      <c r="B29" s="68" t="s">
        <v>90</v>
      </c>
      <c r="C29" s="56" t="s">
        <v>91</v>
      </c>
      <c r="D29" s="56"/>
      <c r="E29" s="56"/>
      <c r="F29" s="56"/>
      <c r="G29" s="56"/>
      <c r="H29" s="56"/>
      <c r="I29" s="56"/>
      <c r="J29" s="193"/>
      <c r="K29" s="194">
        <v>1.43E-2</v>
      </c>
      <c r="L29" s="195">
        <f>ROUND(K29*FRE!$M$187,2)</f>
        <v>0</v>
      </c>
      <c r="M29" s="130"/>
      <c r="N29" s="20"/>
      <c r="O29" s="39">
        <f t="shared" si="0"/>
        <v>0.01</v>
      </c>
      <c r="P29" s="40" t="s">
        <v>195</v>
      </c>
      <c r="Q29" s="41">
        <f>IF(OR(FRE!$N$189="não",FRE!$N$189&lt;"0"),   IF($O$24=$T$20,U29,IF($O$24=$X$20,Y29,IF($O$24=$AB$20,AC29,AG29))),  IF($O$24=$T$20,V29,IF($O$24=$X$20,Z29,IF($O$24=$AB$20,AD29,AH29))))</f>
        <v>1.43E-2</v>
      </c>
      <c r="R29" s="42" t="str">
        <f t="shared" si="1"/>
        <v>ok</v>
      </c>
      <c r="S29" s="29"/>
      <c r="T29" s="30">
        <v>0.01</v>
      </c>
      <c r="U29" s="30">
        <v>1.43E-2</v>
      </c>
      <c r="V29" s="30">
        <v>1.43E-2</v>
      </c>
      <c r="W29" s="29"/>
      <c r="X29" s="30">
        <v>0.01</v>
      </c>
      <c r="Y29" s="30">
        <v>1.43E-2</v>
      </c>
      <c r="Z29" s="30">
        <v>1.43E-2</v>
      </c>
      <c r="AA29" s="27"/>
      <c r="AB29" s="30">
        <v>0.01</v>
      </c>
      <c r="AC29" s="30">
        <v>1.43E-2</v>
      </c>
      <c r="AD29" s="30">
        <v>1.43E-2</v>
      </c>
      <c r="AE29" s="27"/>
      <c r="AF29" s="30">
        <v>0.01</v>
      </c>
      <c r="AG29" s="30">
        <v>1.43E-2</v>
      </c>
      <c r="AH29" s="30">
        <v>1.43E-2</v>
      </c>
      <c r="AI29" s="137">
        <f>Orç_analítico_Hab!M22/IF(Orç_analítico_Hab!M$430=0,1,Orç_analítico_Hab!M$430)</f>
        <v>0</v>
      </c>
      <c r="AJ29" s="138">
        <f t="shared" si="2"/>
        <v>0</v>
      </c>
      <c r="AK29" s="139">
        <f t="shared" si="3"/>
        <v>0</v>
      </c>
    </row>
    <row r="30" spans="2:37" s="19" customFormat="1" ht="11.1" customHeight="1" x14ac:dyDescent="0.25">
      <c r="B30" s="68" t="s">
        <v>92</v>
      </c>
      <c r="C30" s="56" t="s">
        <v>93</v>
      </c>
      <c r="D30" s="56"/>
      <c r="E30" s="56"/>
      <c r="F30" s="56"/>
      <c r="G30" s="56"/>
      <c r="H30" s="56"/>
      <c r="I30" s="56"/>
      <c r="J30" s="193"/>
      <c r="K30" s="194">
        <v>3.9399999999999998E-2</v>
      </c>
      <c r="L30" s="195">
        <f>ROUND(K30*FRE!$M$187,2)</f>
        <v>0</v>
      </c>
      <c r="M30" s="130"/>
      <c r="N30" s="20"/>
      <c r="O30" s="39">
        <f t="shared" si="0"/>
        <v>6.0000000000000001E-3</v>
      </c>
      <c r="P30" s="40" t="s">
        <v>195</v>
      </c>
      <c r="Q30" s="41">
        <f>IF(OR(FRE!$N$189="não",FRE!$N$189&lt;"0"),   IF($O$24=$T$20,U30,IF($O$24=$X$20,Y30,IF($O$24=$AB$20,AC30,AG30))),  IF($O$24=$T$20,V30,IF($O$24=$X$20,Z30,IF($O$24=$AB$20,AD30,AH30))))</f>
        <v>3.9399999999999998E-2</v>
      </c>
      <c r="R30" s="42" t="str">
        <f t="shared" si="1"/>
        <v>ok</v>
      </c>
      <c r="S30" s="29"/>
      <c r="T30" s="30">
        <v>6.0000000000000001E-3</v>
      </c>
      <c r="U30" s="30">
        <v>3.9399999999999998E-2</v>
      </c>
      <c r="V30" s="30">
        <v>3.9399999999999998E-2</v>
      </c>
      <c r="W30" s="29"/>
      <c r="X30" s="30">
        <v>6.0000000000000001E-3</v>
      </c>
      <c r="Y30" s="30">
        <v>3.9399999999999998E-2</v>
      </c>
      <c r="Z30" s="30">
        <v>3.9399999999999998E-2</v>
      </c>
      <c r="AA30" s="27"/>
      <c r="AB30" s="30">
        <v>6.0000000000000001E-3</v>
      </c>
      <c r="AC30" s="30">
        <v>3.9399999999999998E-2</v>
      </c>
      <c r="AD30" s="30">
        <v>3.9399999999999998E-2</v>
      </c>
      <c r="AE30" s="27"/>
      <c r="AF30" s="30">
        <v>6.0000000000000001E-3</v>
      </c>
      <c r="AG30" s="30">
        <v>3.9399999999999998E-2</v>
      </c>
      <c r="AH30" s="30">
        <v>3.9399999999999998E-2</v>
      </c>
      <c r="AI30" s="137">
        <f>Orç_analítico_Hab!M23/IF(Orç_analítico_Hab!M$430=0,1,Orç_analítico_Hab!M$430)</f>
        <v>0</v>
      </c>
      <c r="AJ30" s="138">
        <f t="shared" si="2"/>
        <v>0</v>
      </c>
      <c r="AK30" s="139">
        <f t="shared" si="3"/>
        <v>0</v>
      </c>
    </row>
    <row r="31" spans="2:37" s="19" customFormat="1" ht="11.1" customHeight="1" x14ac:dyDescent="0.25">
      <c r="B31" s="68" t="s">
        <v>94</v>
      </c>
      <c r="C31" s="56" t="s">
        <v>95</v>
      </c>
      <c r="D31" s="56"/>
      <c r="E31" s="56"/>
      <c r="F31" s="56"/>
      <c r="G31" s="56"/>
      <c r="H31" s="56"/>
      <c r="I31" s="56"/>
      <c r="J31" s="193"/>
      <c r="K31" s="194">
        <v>6.7000000000000002E-3</v>
      </c>
      <c r="L31" s="195">
        <f>ROUND(K31*FRE!$M$187,2)</f>
        <v>0</v>
      </c>
      <c r="M31" s="130"/>
      <c r="N31" s="20"/>
      <c r="O31" s="39">
        <f t="shared" si="0"/>
        <v>5.0000000000000001E-4</v>
      </c>
      <c r="P31" s="40" t="s">
        <v>195</v>
      </c>
      <c r="Q31" s="41">
        <f>IF(OR(FRE!$N$189="não",FRE!$N$189&lt;"0"),   IF($O$24=$T$20,U31,IF($O$24=$X$20,Y31,IF($O$24=$AB$20,AC31,AG31))),  IF($O$24=$T$20,V31,IF($O$24=$X$20,Z31,IF($O$24=$AB$20,AD31,AH31))))</f>
        <v>6.7000000000000002E-3</v>
      </c>
      <c r="R31" s="42" t="str">
        <f t="shared" si="1"/>
        <v>ok</v>
      </c>
      <c r="S31" s="29"/>
      <c r="T31" s="30">
        <v>5.0000000000000001E-4</v>
      </c>
      <c r="U31" s="30">
        <v>6.7000000000000002E-3</v>
      </c>
      <c r="V31" s="30">
        <v>6.7000000000000002E-3</v>
      </c>
      <c r="W31" s="29"/>
      <c r="X31" s="30">
        <v>5.0000000000000001E-4</v>
      </c>
      <c r="Y31" s="30">
        <v>6.7000000000000002E-3</v>
      </c>
      <c r="Z31" s="30">
        <v>6.7000000000000002E-3</v>
      </c>
      <c r="AA31" s="27"/>
      <c r="AB31" s="30">
        <v>5.0000000000000001E-4</v>
      </c>
      <c r="AC31" s="30">
        <v>6.7000000000000002E-3</v>
      </c>
      <c r="AD31" s="30">
        <v>6.7000000000000002E-3</v>
      </c>
      <c r="AE31" s="27"/>
      <c r="AF31" s="30">
        <v>5.0000000000000001E-4</v>
      </c>
      <c r="AG31" s="30">
        <v>6.7000000000000002E-3</v>
      </c>
      <c r="AH31" s="30">
        <v>6.7000000000000002E-3</v>
      </c>
      <c r="AI31" s="137">
        <f>Orç_analítico_Hab!M24/IF(Orç_analítico_Hab!M$430=0,1,Orç_analítico_Hab!M$430)</f>
        <v>0</v>
      </c>
      <c r="AJ31" s="138">
        <f t="shared" si="2"/>
        <v>0</v>
      </c>
      <c r="AK31" s="139">
        <f t="shared" si="3"/>
        <v>0</v>
      </c>
    </row>
    <row r="32" spans="2:37" s="19" customFormat="1" ht="11.1" customHeight="1" x14ac:dyDescent="0.25">
      <c r="B32" s="68" t="s">
        <v>96</v>
      </c>
      <c r="C32" s="56" t="s">
        <v>97</v>
      </c>
      <c r="D32" s="56"/>
      <c r="E32" s="56"/>
      <c r="F32" s="56"/>
      <c r="G32" s="56"/>
      <c r="H32" s="56"/>
      <c r="I32" s="56"/>
      <c r="J32" s="193"/>
      <c r="K32" s="194">
        <v>1.1000000000000001E-3</v>
      </c>
      <c r="L32" s="195">
        <f>ROUND(K32*FRE!$M$187,2)</f>
        <v>0</v>
      </c>
      <c r="M32" s="130"/>
      <c r="N32" s="20"/>
      <c r="O32" s="39">
        <f t="shared" si="0"/>
        <v>5.0000000000000001E-4</v>
      </c>
      <c r="P32" s="40" t="s">
        <v>195</v>
      </c>
      <c r="Q32" s="41">
        <f>IF(OR(FRE!$N$189="não",FRE!$N$189&lt;"0"),   IF($O$24=$T$20,U32,IF($O$24=$X$20,Y32,IF($O$24=$AB$20,AC32,AG32))),  IF($O$24=$T$20,V32,IF($O$24=$X$20,Z32,IF($O$24=$AB$20,AD32,AH32))))</f>
        <v>1.1000000000000001E-3</v>
      </c>
      <c r="R32" s="42" t="str">
        <f t="shared" si="1"/>
        <v>ok</v>
      </c>
      <c r="S32" s="29"/>
      <c r="T32" s="30">
        <v>5.0000000000000001E-4</v>
      </c>
      <c r="U32" s="30">
        <v>1.1000000000000001E-3</v>
      </c>
      <c r="V32" s="30">
        <v>1.1000000000000001E-3</v>
      </c>
      <c r="W32" s="29"/>
      <c r="X32" s="30">
        <v>5.0000000000000001E-4</v>
      </c>
      <c r="Y32" s="30">
        <v>1.1000000000000001E-3</v>
      </c>
      <c r="Z32" s="30">
        <v>1.1000000000000001E-3</v>
      </c>
      <c r="AA32" s="27"/>
      <c r="AB32" s="30">
        <v>5.0000000000000001E-4</v>
      </c>
      <c r="AC32" s="30">
        <v>1.1000000000000001E-3</v>
      </c>
      <c r="AD32" s="30">
        <v>1.1000000000000001E-3</v>
      </c>
      <c r="AE32" s="27"/>
      <c r="AF32" s="30">
        <v>5.0000000000000001E-4</v>
      </c>
      <c r="AG32" s="30">
        <v>1.1000000000000001E-3</v>
      </c>
      <c r="AH32" s="30">
        <v>1.1000000000000001E-3</v>
      </c>
      <c r="AI32" s="137">
        <f>Orç_analítico_Hab!M25/IF(Orç_analítico_Hab!M$430=0,1,Orç_analítico_Hab!M$430)</f>
        <v>0</v>
      </c>
      <c r="AJ32" s="138">
        <f t="shared" si="2"/>
        <v>0</v>
      </c>
      <c r="AK32" s="139">
        <f t="shared" si="3"/>
        <v>0</v>
      </c>
    </row>
    <row r="33" spans="2:37" s="19" customFormat="1" ht="11.1" customHeight="1" x14ac:dyDescent="0.25">
      <c r="B33" s="68" t="s">
        <v>98</v>
      </c>
      <c r="C33" s="56" t="s">
        <v>99</v>
      </c>
      <c r="D33" s="56"/>
      <c r="E33" s="56"/>
      <c r="F33" s="56"/>
      <c r="G33" s="56"/>
      <c r="H33" s="56"/>
      <c r="I33" s="56"/>
      <c r="J33" s="193"/>
      <c r="K33" s="194">
        <v>8.9999999999999998E-4</v>
      </c>
      <c r="L33" s="195">
        <f>ROUND(K33*FRE!$M$187,2)</f>
        <v>0</v>
      </c>
      <c r="M33" s="130"/>
      <c r="N33" s="20"/>
      <c r="O33" s="39">
        <f t="shared" si="0"/>
        <v>5.0000000000000001E-4</v>
      </c>
      <c r="P33" s="40" t="s">
        <v>195</v>
      </c>
      <c r="Q33" s="41">
        <f>IF(OR(FRE!$N$189="não",FRE!$N$189&lt;"0"),   IF($O$24=$T$20,U33,IF($O$24=$X$20,Y33,IF($O$24=$AB$20,AC33,AG33))),  IF($O$24=$T$20,V33,IF($O$24=$X$20,Z33,IF($O$24=$AB$20,AD33,AH33))))</f>
        <v>8.9999999999999998E-4</v>
      </c>
      <c r="R33" s="42" t="str">
        <f t="shared" si="1"/>
        <v>ok</v>
      </c>
      <c r="S33" s="29"/>
      <c r="T33" s="30">
        <v>5.0000000000000001E-4</v>
      </c>
      <c r="U33" s="30">
        <v>8.9999999999999998E-4</v>
      </c>
      <c r="V33" s="30">
        <v>8.9999999999999998E-4</v>
      </c>
      <c r="W33" s="29"/>
      <c r="X33" s="30">
        <v>5.0000000000000001E-4</v>
      </c>
      <c r="Y33" s="30">
        <v>8.9999999999999998E-4</v>
      </c>
      <c r="Z33" s="30">
        <v>8.9999999999999998E-4</v>
      </c>
      <c r="AA33" s="27"/>
      <c r="AB33" s="30">
        <v>5.0000000000000001E-4</v>
      </c>
      <c r="AC33" s="30">
        <v>8.9999999999999998E-4</v>
      </c>
      <c r="AD33" s="30">
        <v>8.9999999999999998E-4</v>
      </c>
      <c r="AE33" s="27"/>
      <c r="AF33" s="30">
        <v>5.0000000000000001E-4</v>
      </c>
      <c r="AG33" s="30">
        <v>8.9999999999999998E-4</v>
      </c>
      <c r="AH33" s="30">
        <v>8.9999999999999998E-4</v>
      </c>
      <c r="AI33" s="137">
        <f>Orç_analítico_Hab!M26/IF(Orç_analítico_Hab!M$430=0,1,Orç_analítico_Hab!M$430)</f>
        <v>0</v>
      </c>
      <c r="AJ33" s="138">
        <f t="shared" si="2"/>
        <v>0</v>
      </c>
      <c r="AK33" s="139">
        <f t="shared" si="3"/>
        <v>0</v>
      </c>
    </row>
    <row r="34" spans="2:37" s="19" customFormat="1" ht="11.1" customHeight="1" x14ac:dyDescent="0.25">
      <c r="B34" s="68" t="s">
        <v>100</v>
      </c>
      <c r="C34" s="56" t="s">
        <v>101</v>
      </c>
      <c r="D34" s="56"/>
      <c r="E34" s="56"/>
      <c r="F34" s="56"/>
      <c r="G34" s="56"/>
      <c r="H34" s="56"/>
      <c r="I34" s="56"/>
      <c r="J34" s="193"/>
      <c r="K34" s="194">
        <v>5.9999999999999995E-4</v>
      </c>
      <c r="L34" s="195">
        <f>ROUND(K34*FRE!$M$187,2)</f>
        <v>0</v>
      </c>
      <c r="M34" s="130"/>
      <c r="N34" s="20"/>
      <c r="O34" s="39">
        <f t="shared" si="0"/>
        <v>0</v>
      </c>
      <c r="P34" s="40" t="s">
        <v>195</v>
      </c>
      <c r="Q34" s="41">
        <f>IF(OR(FRE!$N$189="não",FRE!$N$189&lt;"0"),   IF($O$24=$T$20,U34,IF($O$24=$X$20,Y34,IF($O$24=$AB$20,AC34,AG34))),  IF($O$24=$T$20,V34,IF($O$24=$X$20,Z34,IF($O$24=$AB$20,AD34,AH34))))</f>
        <v>5.9999999999999995E-4</v>
      </c>
      <c r="R34" s="42" t="str">
        <f t="shared" si="1"/>
        <v>ok</v>
      </c>
      <c r="S34" s="29"/>
      <c r="T34" s="30">
        <v>0</v>
      </c>
      <c r="U34" s="30">
        <v>5.9999999999999995E-4</v>
      </c>
      <c r="V34" s="30">
        <v>5.9999999999999995E-4</v>
      </c>
      <c r="W34" s="29"/>
      <c r="X34" s="30">
        <v>0</v>
      </c>
      <c r="Y34" s="30">
        <v>5.9999999999999995E-4</v>
      </c>
      <c r="Z34" s="30">
        <v>5.9999999999999995E-4</v>
      </c>
      <c r="AA34" s="27"/>
      <c r="AB34" s="30">
        <v>0</v>
      </c>
      <c r="AC34" s="30">
        <v>5.9999999999999995E-4</v>
      </c>
      <c r="AD34" s="30">
        <v>5.9999999999999995E-4</v>
      </c>
      <c r="AE34" s="27"/>
      <c r="AF34" s="30">
        <v>0</v>
      </c>
      <c r="AG34" s="30">
        <v>5.9999999999999995E-4</v>
      </c>
      <c r="AH34" s="30">
        <v>5.9999999999999995E-4</v>
      </c>
      <c r="AI34" s="137">
        <f>Orç_analítico_Hab!M27/IF(Orç_analítico_Hab!M$430=0,1,Orç_analítico_Hab!M$430)</f>
        <v>0</v>
      </c>
      <c r="AJ34" s="138">
        <f t="shared" si="2"/>
        <v>0</v>
      </c>
      <c r="AK34" s="139">
        <f t="shared" si="3"/>
        <v>0</v>
      </c>
    </row>
    <row r="35" spans="2:37" s="19" customFormat="1" ht="11.1" customHeight="1" x14ac:dyDescent="0.25">
      <c r="B35" s="68" t="s">
        <v>102</v>
      </c>
      <c r="C35" s="56" t="s">
        <v>103</v>
      </c>
      <c r="D35" s="56"/>
      <c r="E35" s="56"/>
      <c r="F35" s="56"/>
      <c r="G35" s="56"/>
      <c r="H35" s="56"/>
      <c r="I35" s="56"/>
      <c r="J35" s="193"/>
      <c r="K35" s="194">
        <v>7.0000000000000007E-2</v>
      </c>
      <c r="L35" s="195">
        <f>ROUND(K35*FRE!$M$187,2)</f>
        <v>0</v>
      </c>
      <c r="M35" s="130"/>
      <c r="N35" s="20"/>
      <c r="O35" s="39">
        <f t="shared" si="0"/>
        <v>2.5000000000000001E-2</v>
      </c>
      <c r="P35" s="40" t="s">
        <v>195</v>
      </c>
      <c r="Q35" s="41">
        <f>IF(OR(FRE!$N$189="não",FRE!$N$189&lt;"0"),   IF($O$24=$T$20,U35,IF($O$24=$X$20,Y35,IF($O$24=$AB$20,AC35,AG35))),  IF($O$24=$T$20,V35,IF($O$24=$X$20,Z35,IF($O$24=$AB$20,AD35,AH35))))</f>
        <v>7.0000000000000007E-2</v>
      </c>
      <c r="R35" s="42" t="str">
        <f t="shared" si="1"/>
        <v>ok</v>
      </c>
      <c r="S35" s="29"/>
      <c r="T35" s="30">
        <v>2.5000000000000001E-2</v>
      </c>
      <c r="U35" s="30">
        <v>7.0000000000000007E-2</v>
      </c>
      <c r="V35" s="30">
        <v>7.0000000000000007E-2</v>
      </c>
      <c r="W35" s="29"/>
      <c r="X35" s="30">
        <v>2.5000000000000001E-2</v>
      </c>
      <c r="Y35" s="30">
        <v>7.0000000000000007E-2</v>
      </c>
      <c r="Z35" s="30">
        <v>7.0000000000000007E-2</v>
      </c>
      <c r="AA35" s="27"/>
      <c r="AB35" s="30">
        <v>2.5000000000000001E-2</v>
      </c>
      <c r="AC35" s="30">
        <v>7.0000000000000007E-2</v>
      </c>
      <c r="AD35" s="30">
        <v>7.0000000000000007E-2</v>
      </c>
      <c r="AE35" s="27"/>
      <c r="AF35" s="30">
        <v>2.5000000000000001E-2</v>
      </c>
      <c r="AG35" s="30">
        <v>7.0000000000000007E-2</v>
      </c>
      <c r="AH35" s="30">
        <v>7.0000000000000007E-2</v>
      </c>
      <c r="AI35" s="137">
        <f>Orç_analítico_Hab!M28/IF(Orç_analítico_Hab!M$430=0,1,Orç_analítico_Hab!M$430)</f>
        <v>0</v>
      </c>
      <c r="AJ35" s="138">
        <f t="shared" si="2"/>
        <v>0</v>
      </c>
      <c r="AK35" s="139">
        <f t="shared" si="3"/>
        <v>0</v>
      </c>
    </row>
    <row r="36" spans="2:37" s="19" customFormat="1" ht="11.1" customHeight="1" x14ac:dyDescent="0.25">
      <c r="B36" s="78">
        <v>2</v>
      </c>
      <c r="C36" s="57" t="s">
        <v>690</v>
      </c>
      <c r="D36" s="57"/>
      <c r="E36" s="57"/>
      <c r="F36" s="57"/>
      <c r="G36" s="57"/>
      <c r="H36" s="57"/>
      <c r="I36" s="57"/>
      <c r="J36" s="57"/>
      <c r="K36" s="191">
        <f>SUM(K37:K38)</f>
        <v>0.11</v>
      </c>
      <c r="L36" s="192">
        <f>SUM(L37:L38)</f>
        <v>0</v>
      </c>
      <c r="M36" s="129">
        <f xml:space="preserve"> IF(SUM($L$25,$L$36,$L$39,$L$40,$L$45,$L$48,$L$55,$L$62,$L$71,$L$75)=0,0,M25+L36/SUM($L$25,$L$36,$L$39,$L$40,$L$45,$L$48,$L$55,$L$62,$L$71,$L$75))</f>
        <v>0</v>
      </c>
      <c r="N36" s="50"/>
      <c r="O36" s="35"/>
      <c r="P36" s="36"/>
      <c r="Q36" s="43"/>
      <c r="R36" s="38"/>
      <c r="S36" s="29"/>
      <c r="T36" s="28"/>
      <c r="U36" s="28"/>
      <c r="V36" s="28"/>
      <c r="W36" s="29"/>
      <c r="X36" s="28"/>
      <c r="Y36" s="28"/>
      <c r="Z36" s="28"/>
      <c r="AA36" s="27"/>
      <c r="AB36" s="28"/>
      <c r="AC36" s="28"/>
      <c r="AD36" s="28"/>
      <c r="AE36" s="27"/>
      <c r="AF36" s="28"/>
      <c r="AG36" s="28"/>
      <c r="AH36" s="28"/>
      <c r="AK36" s="140">
        <f>SUM(AK37:AK38)</f>
        <v>0</v>
      </c>
    </row>
    <row r="37" spans="2:37" s="19" customFormat="1" ht="11.1" customHeight="1" x14ac:dyDescent="0.25">
      <c r="B37" s="68" t="s">
        <v>105</v>
      </c>
      <c r="C37" s="56" t="s">
        <v>106</v>
      </c>
      <c r="D37" s="56"/>
      <c r="E37" s="56"/>
      <c r="F37" s="56"/>
      <c r="G37" s="56"/>
      <c r="H37" s="56"/>
      <c r="I37" s="56"/>
      <c r="J37" s="193"/>
      <c r="K37" s="194">
        <v>0.08</v>
      </c>
      <c r="L37" s="195">
        <f>ROUND(K37*FRE!$M$187,2)</f>
        <v>0</v>
      </c>
      <c r="M37" s="130"/>
      <c r="N37" s="20"/>
      <c r="O37" s="39">
        <f>IF($O$24=$T$20,T37,IF($O$24=$X$20,X37,IF($O$24=$AB$20,AB37,AF37)))</f>
        <v>0.03</v>
      </c>
      <c r="P37" s="40" t="s">
        <v>195</v>
      </c>
      <c r="Q37" s="41">
        <f>IF(OR(FRE!$N$189="não",FRE!$N$189&lt;"0"),   IF($O$24=$T$20,U37,IF($O$24=$X$20,Y37,IF($O$24=$AB$20,AC37,AG37))),  IF($O$24=$T$20,V37,IF($O$24=$X$20,Z37,IF($O$24=$AB$20,AD37,AH37))))</f>
        <v>0.08</v>
      </c>
      <c r="R37" s="42" t="str">
        <f>IF(K37&gt;Q37,"Excedeu limites",IF(K37&lt;O37,"Abaixo do limite","ok"))</f>
        <v>ok</v>
      </c>
      <c r="S37" s="29"/>
      <c r="T37" s="30">
        <v>0.03</v>
      </c>
      <c r="U37" s="30">
        <v>0.08</v>
      </c>
      <c r="V37" s="30">
        <v>9.5000000000000001E-2</v>
      </c>
      <c r="W37" s="29"/>
      <c r="X37" s="30">
        <v>0.03</v>
      </c>
      <c r="Y37" s="30">
        <v>0.08</v>
      </c>
      <c r="Z37" s="30">
        <v>9.5000000000000001E-2</v>
      </c>
      <c r="AA37" s="27"/>
      <c r="AB37" s="30">
        <v>0.03</v>
      </c>
      <c r="AC37" s="30">
        <v>7.0000000000000007E-2</v>
      </c>
      <c r="AD37" s="30">
        <v>8.5000000000000006E-2</v>
      </c>
      <c r="AE37" s="27"/>
      <c r="AF37" s="30">
        <v>0.03</v>
      </c>
      <c r="AG37" s="30">
        <v>0.08</v>
      </c>
      <c r="AH37" s="30">
        <v>9.5000000000000001E-2</v>
      </c>
      <c r="AI37" s="137">
        <f>SUM(Orç_analítico_Hab!M33:'Orç_analítico_Hab'!M52)/IF(Orç_analítico_Hab!M$430=0,1,Orç_analítico_Hab!M$430)</f>
        <v>0</v>
      </c>
      <c r="AJ37" s="138">
        <f>AI37-ROUND(AI37,4)+AJ35</f>
        <v>0</v>
      </c>
      <c r="AK37" s="139">
        <f t="shared" si="3"/>
        <v>0</v>
      </c>
    </row>
    <row r="38" spans="2:37" s="19" customFormat="1" ht="11.1" customHeight="1" x14ac:dyDescent="0.25">
      <c r="B38" s="68" t="s">
        <v>107</v>
      </c>
      <c r="C38" s="56" t="s">
        <v>108</v>
      </c>
      <c r="D38" s="56"/>
      <c r="E38" s="56"/>
      <c r="F38" s="56"/>
      <c r="G38" s="56"/>
      <c r="H38" s="56"/>
      <c r="I38" s="56"/>
      <c r="J38" s="193"/>
      <c r="K38" s="194">
        <v>0.03</v>
      </c>
      <c r="L38" s="195">
        <f>ROUND(K38*FRE!$M$187,2)</f>
        <v>0</v>
      </c>
      <c r="M38" s="130"/>
      <c r="N38" s="20"/>
      <c r="O38" s="39">
        <f>IF($O$24=$T$20,T38,IF($O$24=$X$20,X38,IF($O$24=$AB$20,AB38,AF38)))</f>
        <v>0</v>
      </c>
      <c r="P38" s="40" t="s">
        <v>195</v>
      </c>
      <c r="Q38" s="41">
        <f>IF(OR(FRE!$N$189="não",FRE!$N$189&lt;"0"),   IF($O$24=$T$20,U38,IF($O$24=$X$20,Y38,IF($O$24=$AB$20,AC38,AG38))),  IF($O$24=$T$20,V38,IF($O$24=$X$20,Z38,IF($O$24=$AB$20,AD38,AH38))))</f>
        <v>0.03</v>
      </c>
      <c r="R38" s="42" t="str">
        <f>IF(K38&gt;Q38,"Excedeu limites",IF(K38&lt;O38,"Abaixo do limite","ok"))</f>
        <v>ok</v>
      </c>
      <c r="S38" s="29"/>
      <c r="T38" s="30">
        <v>0</v>
      </c>
      <c r="U38" s="30">
        <v>0.03</v>
      </c>
      <c r="V38" s="30">
        <v>3.5000000000000003E-2</v>
      </c>
      <c r="W38" s="29"/>
      <c r="X38" s="30">
        <v>0</v>
      </c>
      <c r="Y38" s="30">
        <v>0.03</v>
      </c>
      <c r="Z38" s="30">
        <v>3.5000000000000003E-2</v>
      </c>
      <c r="AA38" s="27"/>
      <c r="AB38" s="30">
        <v>0</v>
      </c>
      <c r="AC38" s="30">
        <v>0.03</v>
      </c>
      <c r="AD38" s="30">
        <v>3.5000000000000003E-2</v>
      </c>
      <c r="AE38" s="27"/>
      <c r="AF38" s="30">
        <v>0</v>
      </c>
      <c r="AG38" s="30">
        <v>0.03</v>
      </c>
      <c r="AH38" s="30">
        <v>3.5000000000000003E-2</v>
      </c>
      <c r="AI38" s="137">
        <f>SUM(Orç_analítico_Hab!M55:'Orç_analítico_Hab'!M61)/IF(Orç_analítico_Hab!M$430=0,1,Orç_analítico_Hab!M$430)</f>
        <v>0</v>
      </c>
      <c r="AJ38" s="138">
        <f>AI38-ROUND(AI38,4)+AJ37</f>
        <v>0</v>
      </c>
      <c r="AK38" s="139">
        <f t="shared" si="3"/>
        <v>0</v>
      </c>
    </row>
    <row r="39" spans="2:37" s="19" customFormat="1" ht="11.1" customHeight="1" x14ac:dyDescent="0.25">
      <c r="B39" s="78">
        <v>3</v>
      </c>
      <c r="C39" s="57" t="s">
        <v>109</v>
      </c>
      <c r="D39" s="57"/>
      <c r="E39" s="57"/>
      <c r="F39" s="57"/>
      <c r="G39" s="57"/>
      <c r="H39" s="57"/>
      <c r="I39" s="57"/>
      <c r="J39" s="193"/>
      <c r="K39" s="196">
        <f>ROUND(AI39,4)</f>
        <v>0</v>
      </c>
      <c r="L39" s="192">
        <f>ROUND(K39*FRE!$M$187,2)</f>
        <v>0</v>
      </c>
      <c r="M39" s="129">
        <f xml:space="preserve"> IF(SUM($L$25,$L$36,$L$39,$L$40,$L$45,$L$48,$L$55,$L$62,$L$71,$L$75)=0,0,M36+L39/SUM($L$25,$L$36,$L$39,$L$40,$L$45,$L$48,$L$55,$L$62,$L$71,$L$75))</f>
        <v>0</v>
      </c>
      <c r="N39" s="50"/>
      <c r="O39" s="39">
        <f>IF($O$24=$T$20,T39,IF($O$24=$X$20,X39,IF($O$24=$AB$20,AB39,AF39)))</f>
        <v>0.03</v>
      </c>
      <c r="P39" s="40" t="s">
        <v>195</v>
      </c>
      <c r="Q39" s="41">
        <f>IF(OR(FRE!$N$189="não",FRE!$N$189&lt;"0"),   IF($O$24=$T$20,U39,IF($O$24=$X$20,Y39,IF($O$24=$AB$20,AC39,AG39))),  IF($O$24=$T$20,V39,IF($O$24=$X$20,Z39,IF($O$24=$AB$20,AD39,AH39))))</f>
        <v>0.15</v>
      </c>
      <c r="R39" s="42" t="str">
        <f>IF(K39&gt;Q39,"Excedeu limites",IF(K39&lt;O39,"Abaixo do limite","ok"))</f>
        <v>Abaixo do limite</v>
      </c>
      <c r="S39" s="29"/>
      <c r="T39" s="30">
        <v>0.03</v>
      </c>
      <c r="U39" s="30">
        <v>0.15</v>
      </c>
      <c r="V39" s="30">
        <v>0.17499999999999999</v>
      </c>
      <c r="W39" s="29"/>
      <c r="X39" s="30">
        <v>0.1</v>
      </c>
      <c r="Y39" s="30">
        <v>0.25</v>
      </c>
      <c r="Z39" s="30">
        <v>0.3</v>
      </c>
      <c r="AA39" s="27"/>
      <c r="AB39" s="30">
        <v>0.1</v>
      </c>
      <c r="AC39" s="30">
        <v>0.25</v>
      </c>
      <c r="AD39" s="30">
        <v>0.3</v>
      </c>
      <c r="AE39" s="27"/>
      <c r="AF39" s="30">
        <v>0.14000000000000001</v>
      </c>
      <c r="AG39" s="30">
        <v>0.35</v>
      </c>
      <c r="AH39" s="30">
        <v>0.4</v>
      </c>
      <c r="AI39" s="137">
        <f>SUM(Orç_analítico_Hab!M65:'Orç_analítico_Hab'!M69)/IF(Orç_analítico_Hab!M$430=0,1,Orç_analítico_Hab!M$430)</f>
        <v>0</v>
      </c>
      <c r="AJ39" s="138">
        <f>AI39-ROUND(AI39,4)+AJ38</f>
        <v>0</v>
      </c>
      <c r="AK39" s="140">
        <f t="shared" si="3"/>
        <v>0</v>
      </c>
    </row>
    <row r="40" spans="2:37" s="19" customFormat="1" ht="11.1" customHeight="1" x14ac:dyDescent="0.25">
      <c r="B40" s="78">
        <v>4</v>
      </c>
      <c r="C40" s="57" t="s">
        <v>110</v>
      </c>
      <c r="D40" s="57"/>
      <c r="E40" s="57"/>
      <c r="F40" s="57"/>
      <c r="G40" s="57"/>
      <c r="H40" s="57"/>
      <c r="I40" s="57"/>
      <c r="J40" s="57"/>
      <c r="K40" s="191">
        <f>SUM(K41:K44)</f>
        <v>0.14000000000000001</v>
      </c>
      <c r="L40" s="192">
        <f>SUM(L41:L44)</f>
        <v>0</v>
      </c>
      <c r="M40" s="129">
        <f xml:space="preserve"> IF(SUM($L$25,$L$36,$L$39,$L$40,$L$45,$L$48,$L$55,$L$62,$L$71,$L$75)=0,0,M39+L40/SUM($L$25,$L$36,$L$39,$L$40,$L$45,$L$48,$L$55,$L$62,$L$71,$L$75))</f>
        <v>0</v>
      </c>
      <c r="N40" s="50"/>
      <c r="O40" s="35"/>
      <c r="P40" s="36"/>
      <c r="Q40" s="43"/>
      <c r="R40" s="38"/>
      <c r="S40" s="29"/>
      <c r="T40" s="28"/>
      <c r="U40" s="28"/>
      <c r="V40" s="28"/>
      <c r="W40" s="29"/>
      <c r="X40" s="28"/>
      <c r="Y40" s="28"/>
      <c r="Z40" s="28"/>
      <c r="AA40" s="27"/>
      <c r="AB40" s="28"/>
      <c r="AC40" s="28"/>
      <c r="AD40" s="28"/>
      <c r="AE40" s="27"/>
      <c r="AF40" s="28"/>
      <c r="AG40" s="28"/>
      <c r="AH40" s="28"/>
      <c r="AK40" s="140">
        <f>SUM(AK41:AK44)</f>
        <v>0</v>
      </c>
    </row>
    <row r="41" spans="2:37" s="19" customFormat="1" ht="11.1" customHeight="1" x14ac:dyDescent="0.25">
      <c r="B41" s="68" t="s">
        <v>111</v>
      </c>
      <c r="C41" s="56" t="s">
        <v>112</v>
      </c>
      <c r="D41" s="56"/>
      <c r="E41" s="56"/>
      <c r="F41" s="56"/>
      <c r="G41" s="56"/>
      <c r="H41" s="56"/>
      <c r="I41" s="56"/>
      <c r="J41" s="193"/>
      <c r="K41" s="194">
        <v>0.11</v>
      </c>
      <c r="L41" s="195">
        <f>ROUND(K41*FRE!$M$187,2)</f>
        <v>0</v>
      </c>
      <c r="M41" s="130"/>
      <c r="N41" s="20"/>
      <c r="O41" s="39">
        <f>IF($O$24=$T$20,T41,IF($O$24=$X$20,X41,IF($O$24=$AB$20,AB41,AF41)))</f>
        <v>0.06</v>
      </c>
      <c r="P41" s="40" t="s">
        <v>195</v>
      </c>
      <c r="Q41" s="41">
        <f>IF(OR(FRE!$N$189="não",FRE!$N$189&lt;"0"),   IF($O$24=$T$20,U41,IF($O$24=$X$20,Y41,IF($O$24=$AB$20,AC41,AG41))),  IF($O$24=$T$20,V41,IF($O$24=$X$20,Z41,IF($O$24=$AB$20,AD41,AH41))))</f>
        <v>0.15</v>
      </c>
      <c r="R41" s="42" t="str">
        <f>IF(K41&gt;Q41,"Excedeu limites",IF(K41&lt;O41,"Abaixo do limite","ok"))</f>
        <v>ok</v>
      </c>
      <c r="S41" s="29"/>
      <c r="T41" s="30">
        <v>0.06</v>
      </c>
      <c r="U41" s="30">
        <v>0.15</v>
      </c>
      <c r="V41" s="30">
        <v>0.17499999999999999</v>
      </c>
      <c r="W41" s="29"/>
      <c r="X41" s="30">
        <v>0.04</v>
      </c>
      <c r="Y41" s="30">
        <v>0.15</v>
      </c>
      <c r="Z41" s="30">
        <v>0.18</v>
      </c>
      <c r="AA41" s="27"/>
      <c r="AB41" s="30">
        <v>0.02</v>
      </c>
      <c r="AC41" s="30">
        <v>0.08</v>
      </c>
      <c r="AD41" s="30">
        <v>9.5000000000000001E-2</v>
      </c>
      <c r="AE41" s="27"/>
      <c r="AF41" s="30">
        <v>0</v>
      </c>
      <c r="AG41" s="30">
        <v>5.0000000000000001E-3</v>
      </c>
      <c r="AH41" s="30">
        <v>5.0000000000000001E-3</v>
      </c>
      <c r="AI41" s="137">
        <f>SUM(Orç_analítico_Hab!M74:'Orç_analítico_Hab'!M81)/IF(Orç_analítico_Hab!M$430=0,1,Orç_analítico_Hab!M$430)</f>
        <v>0</v>
      </c>
      <c r="AJ41" s="138">
        <f>AI41-ROUND(AI41,4)+AJ39</f>
        <v>0</v>
      </c>
      <c r="AK41" s="139">
        <f t="shared" ref="AK41:AK54" si="4">ROUND(L41,2)</f>
        <v>0</v>
      </c>
    </row>
    <row r="42" spans="2:37" s="19" customFormat="1" ht="11.1" customHeight="1" x14ac:dyDescent="0.25">
      <c r="B42" s="68" t="s">
        <v>113</v>
      </c>
      <c r="C42" s="56" t="s">
        <v>114</v>
      </c>
      <c r="D42" s="56"/>
      <c r="E42" s="56"/>
      <c r="F42" s="56"/>
      <c r="G42" s="56"/>
      <c r="H42" s="56"/>
      <c r="I42" s="56"/>
      <c r="J42" s="193"/>
      <c r="K42" s="194">
        <v>0.01</v>
      </c>
      <c r="L42" s="195">
        <f>ROUND(K42*FRE!$M$187,2)</f>
        <v>0</v>
      </c>
      <c r="M42" s="130"/>
      <c r="N42" s="20"/>
      <c r="O42" s="39">
        <f>IF($O$24=$T$20,T42,IF($O$24=$X$20,X42,IF($O$24=$AB$20,AB42,AF42)))</f>
        <v>0</v>
      </c>
      <c r="P42" s="40" t="s">
        <v>195</v>
      </c>
      <c r="Q42" s="41">
        <f>IF(OR(FRE!$N$189="não",FRE!$N$189&lt;"0"),   IF($O$24=$T$20,U42,IF($O$24=$X$20,Y42,IF($O$24=$AB$20,AC42,AG42))),  IF($O$24=$T$20,V42,IF($O$24=$X$20,Z42,IF($O$24=$AB$20,AD42,AH42))))</f>
        <v>0.08</v>
      </c>
      <c r="R42" s="42" t="str">
        <f>IF(K42&gt;Q42,"Excedeu limites",IF(K42&lt;O42,"Abaixo do limite","ok"))</f>
        <v>ok</v>
      </c>
      <c r="S42" s="29"/>
      <c r="T42" s="30">
        <v>0</v>
      </c>
      <c r="U42" s="30">
        <v>0.08</v>
      </c>
      <c r="V42" s="30">
        <v>9.5000000000000001E-2</v>
      </c>
      <c r="W42" s="29"/>
      <c r="X42" s="30">
        <v>0</v>
      </c>
      <c r="Y42" s="30">
        <v>0.08</v>
      </c>
      <c r="Z42" s="30">
        <v>9.5000000000000001E-2</v>
      </c>
      <c r="AA42" s="27"/>
      <c r="AB42" s="30">
        <v>0.02</v>
      </c>
      <c r="AC42" s="30">
        <v>0.1</v>
      </c>
      <c r="AD42" s="30">
        <v>0.12</v>
      </c>
      <c r="AE42" s="27"/>
      <c r="AF42" s="30">
        <v>0</v>
      </c>
      <c r="AG42" s="30">
        <v>0.08</v>
      </c>
      <c r="AH42" s="30">
        <v>9.5000000000000001E-2</v>
      </c>
      <c r="AI42" s="137">
        <f>SUM(Orç_analítico_Hab!M84:'Orç_analítico_Hab'!M102)/IF(Orç_analítico_Hab!M$430=0,1,Orç_analítico_Hab!M$430)</f>
        <v>0</v>
      </c>
      <c r="AJ42" s="138">
        <f>AI42-ROUND(AI42,4)+AJ41</f>
        <v>0</v>
      </c>
      <c r="AK42" s="139">
        <f t="shared" si="4"/>
        <v>0</v>
      </c>
    </row>
    <row r="43" spans="2:37" s="19" customFormat="1" ht="11.1" customHeight="1" x14ac:dyDescent="0.25">
      <c r="B43" s="68" t="s">
        <v>115</v>
      </c>
      <c r="C43" s="56" t="s">
        <v>116</v>
      </c>
      <c r="D43" s="56"/>
      <c r="E43" s="56"/>
      <c r="F43" s="56"/>
      <c r="G43" s="56"/>
      <c r="H43" s="56"/>
      <c r="I43" s="56"/>
      <c r="J43" s="193"/>
      <c r="K43" s="194">
        <v>0.01</v>
      </c>
      <c r="L43" s="195">
        <f>ROUND(K43*FRE!$M$187,2)</f>
        <v>0</v>
      </c>
      <c r="M43" s="130"/>
      <c r="N43" s="20"/>
      <c r="O43" s="39">
        <f>IF($O$24=$T$20,T43,IF($O$24=$X$20,X43,IF($O$24=$AB$20,AB43,AF43)))</f>
        <v>0.01</v>
      </c>
      <c r="P43" s="40" t="s">
        <v>195</v>
      </c>
      <c r="Q43" s="41">
        <f>IF(OR(FRE!$N$189="não",FRE!$N$189&lt;"0"),   IF($O$24=$T$20,U43,IF($O$24=$X$20,Y43,IF($O$24=$AB$20,AC43,AG43))),  IF($O$24=$T$20,V43,IF($O$24=$X$20,Z43,IF($O$24=$AB$20,AD43,AH43))))</f>
        <v>0.06</v>
      </c>
      <c r="R43" s="42" t="str">
        <f>IF(K43&gt;Q43,"Excedeu limites",IF(K43&lt;O43,"Abaixo do limite","ok"))</f>
        <v>ok</v>
      </c>
      <c r="S43" s="29"/>
      <c r="T43" s="30">
        <v>0.01</v>
      </c>
      <c r="U43" s="30">
        <v>0.06</v>
      </c>
      <c r="V43" s="30">
        <v>7.0000000000000007E-2</v>
      </c>
      <c r="W43" s="29"/>
      <c r="X43" s="30">
        <v>0.01</v>
      </c>
      <c r="Y43" s="30">
        <v>0.06</v>
      </c>
      <c r="Z43" s="30">
        <v>7.0000000000000007E-2</v>
      </c>
      <c r="AA43" s="27"/>
      <c r="AB43" s="30">
        <v>0</v>
      </c>
      <c r="AC43" s="30">
        <v>0.04</v>
      </c>
      <c r="AD43" s="30">
        <v>4.4999999999999998E-2</v>
      </c>
      <c r="AE43" s="27"/>
      <c r="AF43" s="30">
        <v>0.01</v>
      </c>
      <c r="AG43" s="30">
        <v>0.06</v>
      </c>
      <c r="AH43" s="30">
        <v>7.0000000000000007E-2</v>
      </c>
      <c r="AI43" s="137">
        <f>SUM(Orç_analítico_Hab!M105:'Orç_analítico_Hab'!M123)/IF(Orç_analítico_Hab!M$430=0,1,Orç_analítico_Hab!M$430)</f>
        <v>0</v>
      </c>
      <c r="AJ43" s="138">
        <f>AI43-ROUND(AI43,4)+AJ42</f>
        <v>0</v>
      </c>
      <c r="AK43" s="139">
        <f t="shared" si="4"/>
        <v>0</v>
      </c>
    </row>
    <row r="44" spans="2:37" s="19" customFormat="1" ht="11.1" customHeight="1" x14ac:dyDescent="0.25">
      <c r="B44" s="68" t="s">
        <v>117</v>
      </c>
      <c r="C44" s="56" t="s">
        <v>118</v>
      </c>
      <c r="D44" s="56"/>
      <c r="E44" s="56"/>
      <c r="F44" s="56"/>
      <c r="G44" s="56"/>
      <c r="H44" s="56"/>
      <c r="I44" s="56"/>
      <c r="J44" s="193"/>
      <c r="K44" s="194">
        <v>0.01</v>
      </c>
      <c r="L44" s="195">
        <f>ROUND(K44*FRE!$M$187,2)</f>
        <v>0</v>
      </c>
      <c r="M44" s="130"/>
      <c r="N44" s="20"/>
      <c r="O44" s="39">
        <f>IF($O$24=$T$20,T44,IF($O$24=$X$20,X44,IF($O$24=$AB$20,AB44,AF44)))</f>
        <v>0</v>
      </c>
      <c r="P44" s="40" t="s">
        <v>195</v>
      </c>
      <c r="Q44" s="41">
        <f>IF(OR(FRE!$N$189="não",FRE!$N$189&lt;"0"),   IF($O$24=$T$20,U44,IF($O$24=$X$20,Y44,IF($O$24=$AB$20,AC44,AG44))),  IF($O$24=$T$20,V44,IF($O$24=$X$20,Z44,IF($O$24=$AB$20,AD44,AH44))))</f>
        <v>0.03</v>
      </c>
      <c r="R44" s="42" t="str">
        <f>IF(K44&gt;Q44,"Excedeu limites",IF(K44&lt;O44,"Abaixo do limite","ok"))</f>
        <v>ok</v>
      </c>
      <c r="S44" s="29"/>
      <c r="T44" s="30">
        <v>0</v>
      </c>
      <c r="U44" s="30">
        <v>0.03</v>
      </c>
      <c r="V44" s="30">
        <v>3.5000000000000003E-2</v>
      </c>
      <c r="W44" s="29"/>
      <c r="X44" s="30">
        <v>0</v>
      </c>
      <c r="Y44" s="30">
        <v>0.03</v>
      </c>
      <c r="Z44" s="30">
        <v>3.5000000000000003E-2</v>
      </c>
      <c r="AA44" s="27"/>
      <c r="AB44" s="30">
        <v>1.4999999999999999E-2</v>
      </c>
      <c r="AC44" s="30">
        <v>0.05</v>
      </c>
      <c r="AD44" s="30">
        <v>0.06</v>
      </c>
      <c r="AE44" s="27"/>
      <c r="AF44" s="30">
        <v>0</v>
      </c>
      <c r="AG44" s="30">
        <v>0.03</v>
      </c>
      <c r="AH44" s="30">
        <v>3.5000000000000003E-2</v>
      </c>
      <c r="AI44" s="137">
        <f>SUM(Orç_analítico_Hab!M126:'Orç_analítico_Hab'!M132)/IF(Orç_analítico_Hab!M$430=0,1,Orç_analítico_Hab!M$430)</f>
        <v>0</v>
      </c>
      <c r="AJ44" s="138">
        <f>AI44-ROUND(AI44,4)+AJ43</f>
        <v>0</v>
      </c>
      <c r="AK44" s="139">
        <f t="shared" si="4"/>
        <v>0</v>
      </c>
    </row>
    <row r="45" spans="2:37" s="19" customFormat="1" ht="11.1" customHeight="1" x14ac:dyDescent="0.25">
      <c r="B45" s="78">
        <v>5</v>
      </c>
      <c r="C45" s="57" t="s">
        <v>689</v>
      </c>
      <c r="D45" s="57"/>
      <c r="E45" s="57"/>
      <c r="F45" s="57"/>
      <c r="G45" s="57"/>
      <c r="H45" s="57"/>
      <c r="I45" s="57"/>
      <c r="J45" s="193"/>
      <c r="K45" s="191">
        <f>SUM(K46:K47)</f>
        <v>0.03</v>
      </c>
      <c r="L45" s="192">
        <f>SUM(L46:L47)</f>
        <v>0</v>
      </c>
      <c r="M45" s="129">
        <f xml:space="preserve"> IF(SUM($L$25,$L$36,$L$39,$L$40,$L$45,$L$48,$L$55,$L$62,$L$71,$L$75)=0,0,M40+L45/SUM($L$25,$L$36,$L$39,$L$40,$L$45,$L$48,$L$55,$L$62,$L$71,$L$75))</f>
        <v>0</v>
      </c>
      <c r="N45" s="50"/>
      <c r="O45" s="35"/>
      <c r="P45" s="36"/>
      <c r="Q45" s="43"/>
      <c r="R45" s="38"/>
      <c r="S45" s="29"/>
      <c r="T45" s="28"/>
      <c r="U45" s="28"/>
      <c r="V45" s="28"/>
      <c r="W45" s="29"/>
      <c r="X45" s="28"/>
      <c r="Y45" s="28"/>
      <c r="Z45" s="28"/>
      <c r="AA45" s="27"/>
      <c r="AB45" s="28"/>
      <c r="AC45" s="28"/>
      <c r="AD45" s="28"/>
      <c r="AE45" s="27"/>
      <c r="AF45" s="28"/>
      <c r="AG45" s="28"/>
      <c r="AH45" s="28"/>
      <c r="AK45" s="140">
        <f>SUM(AK46:AK47)</f>
        <v>0</v>
      </c>
    </row>
    <row r="46" spans="2:37" s="19" customFormat="1" ht="11.1" customHeight="1" x14ac:dyDescent="0.25">
      <c r="B46" s="68" t="s">
        <v>119</v>
      </c>
      <c r="C46" s="56" t="s">
        <v>120</v>
      </c>
      <c r="D46" s="56"/>
      <c r="E46" s="56"/>
      <c r="F46" s="56"/>
      <c r="G46" s="56"/>
      <c r="H46" s="56"/>
      <c r="I46" s="56"/>
      <c r="J46" s="193"/>
      <c r="K46" s="194">
        <v>0.02</v>
      </c>
      <c r="L46" s="195">
        <f>ROUND(K46*FRE!$M$187,2)</f>
        <v>0</v>
      </c>
      <c r="M46" s="130"/>
      <c r="N46" s="20"/>
      <c r="O46" s="39">
        <f>IF($O$24=$T$20,T46,IF($O$24=$X$20,X46,IF($O$24=$AB$20,AB46,AF46)))</f>
        <v>0</v>
      </c>
      <c r="P46" s="40" t="s">
        <v>195</v>
      </c>
      <c r="Q46" s="41">
        <f>IF(OR(FRE!$N$189="não",FRE!$N$189&lt;"0"),   IF($O$24=$T$20,U46,IF($O$24=$X$20,Y46,IF($O$24=$AB$20,AC46,AG46))),  IF($O$24=$T$20,V46,IF($O$24=$X$20,Z46,IF($O$24=$AB$20,AD46,AH46))))</f>
        <v>0.15</v>
      </c>
      <c r="R46" s="42" t="str">
        <f>IF(K46&gt;Q46,"Excedeu limites",IF(K46&lt;O46,"Abaixo do limite","ok"))</f>
        <v>ok</v>
      </c>
      <c r="S46" s="29"/>
      <c r="T46" s="30">
        <v>0</v>
      </c>
      <c r="U46" s="30">
        <v>0.15</v>
      </c>
      <c r="V46" s="30">
        <v>0.17499999999999999</v>
      </c>
      <c r="W46" s="29"/>
      <c r="X46" s="30">
        <v>0</v>
      </c>
      <c r="Y46" s="30">
        <v>0.03</v>
      </c>
      <c r="Z46" s="30">
        <v>3.5000000000000003E-2</v>
      </c>
      <c r="AA46" s="27"/>
      <c r="AB46" s="30">
        <v>0</v>
      </c>
      <c r="AC46" s="30">
        <v>0.03</v>
      </c>
      <c r="AD46" s="30">
        <v>3.5000000000000003E-2</v>
      </c>
      <c r="AE46" s="27"/>
      <c r="AF46" s="30">
        <v>0</v>
      </c>
      <c r="AG46" s="30">
        <v>0.08</v>
      </c>
      <c r="AH46" s="30">
        <v>9.5000000000000001E-2</v>
      </c>
      <c r="AI46" s="137">
        <f>SUM(Orç_analítico_Hab!M137:'Orç_analítico_Hab'!M141)/IF(Orç_analítico_Hab!M$430=0,1,Orç_analítico_Hab!M$430)</f>
        <v>0</v>
      </c>
      <c r="AJ46" s="138">
        <f>AI46-ROUND(AI46,4)+AJ44</f>
        <v>0</v>
      </c>
      <c r="AK46" s="139">
        <f t="shared" si="4"/>
        <v>0</v>
      </c>
    </row>
    <row r="47" spans="2:37" s="19" customFormat="1" ht="11.1" customHeight="1" x14ac:dyDescent="0.25">
      <c r="B47" s="68" t="s">
        <v>121</v>
      </c>
      <c r="C47" s="56" t="s">
        <v>122</v>
      </c>
      <c r="D47" s="56"/>
      <c r="E47" s="56"/>
      <c r="F47" s="56"/>
      <c r="G47" s="56"/>
      <c r="H47" s="56"/>
      <c r="I47" s="56"/>
      <c r="J47" s="193"/>
      <c r="K47" s="194">
        <v>0.01</v>
      </c>
      <c r="L47" s="195">
        <f>ROUND(K47*FRE!$M$187,2)</f>
        <v>0</v>
      </c>
      <c r="M47" s="130"/>
      <c r="N47" s="20"/>
      <c r="O47" s="39">
        <f>IF($O$24=$T$20,T47,IF($O$24=$X$20,X47,IF($O$24=$AB$20,AB47,AF47)))</f>
        <v>5.0000000000000001E-3</v>
      </c>
      <c r="P47" s="40" t="s">
        <v>195</v>
      </c>
      <c r="Q47" s="41">
        <f>IF(OR(FRE!$N$189="não",FRE!$N$189&lt;"0"),   IF($O$24=$T$20,U47,IF($O$24=$X$20,Y47,IF($O$24=$AB$20,AC47,AG47))),  IF($O$24=$T$20,V47,IF($O$24=$X$20,Z47,IF($O$24=$AB$20,AD47,AH47))))</f>
        <v>0.03</v>
      </c>
      <c r="R47" s="42" t="str">
        <f>IF(K47&gt;Q47,"Excedeu limites",IF(K47&lt;O47,"Abaixo do limite","ok"))</f>
        <v>ok</v>
      </c>
      <c r="S47" s="29"/>
      <c r="T47" s="30">
        <v>5.0000000000000001E-3</v>
      </c>
      <c r="U47" s="30">
        <v>0.03</v>
      </c>
      <c r="V47" s="30">
        <v>3.5000000000000003E-2</v>
      </c>
      <c r="W47" s="29"/>
      <c r="X47" s="30">
        <v>2E-3</v>
      </c>
      <c r="Y47" s="30">
        <v>2.5000000000000001E-2</v>
      </c>
      <c r="Z47" s="30">
        <v>0.03</v>
      </c>
      <c r="AA47" s="27"/>
      <c r="AB47" s="30">
        <v>2E-3</v>
      </c>
      <c r="AC47" s="30">
        <v>2.5000000000000001E-2</v>
      </c>
      <c r="AD47" s="30">
        <v>0.03</v>
      </c>
      <c r="AE47" s="27"/>
      <c r="AF47" s="30">
        <v>2E-3</v>
      </c>
      <c r="AG47" s="30">
        <v>2.5000000000000001E-2</v>
      </c>
      <c r="AH47" s="30">
        <v>0.03</v>
      </c>
      <c r="AI47" s="137">
        <f>SUM(Orç_analítico_Hab!M144:'Orç_analítico_Hab'!M159)/IF(Orç_analítico_Hab!M$430=0,1,Orç_analítico_Hab!M$430)</f>
        <v>0</v>
      </c>
      <c r="AJ47" s="138">
        <f>AI47-ROUND(AI47,4)+AJ46</f>
        <v>0</v>
      </c>
      <c r="AK47" s="139">
        <f t="shared" si="4"/>
        <v>0</v>
      </c>
    </row>
    <row r="48" spans="2:37" s="19" customFormat="1" ht="11.1" customHeight="1" x14ac:dyDescent="0.25">
      <c r="B48" s="78">
        <v>6</v>
      </c>
      <c r="C48" s="57" t="s">
        <v>123</v>
      </c>
      <c r="D48" s="57"/>
      <c r="E48" s="57"/>
      <c r="F48" s="57"/>
      <c r="G48" s="57"/>
      <c r="H48" s="57"/>
      <c r="I48" s="57"/>
      <c r="J48" s="57"/>
      <c r="K48" s="191">
        <f>SUM(K49:K54)</f>
        <v>0.185</v>
      </c>
      <c r="L48" s="192">
        <f>SUM(L49:L54)</f>
        <v>0</v>
      </c>
      <c r="M48" s="129">
        <f xml:space="preserve"> IF(SUM($L$25,$L$36,$L$39,$L$40,$L$45,$L$48,$L$55,$L$62,$L$71,$L$75)=0,0,M45+L48/SUM($L$25,$L$36,$L$39,$L$40,$L$45,$L$48,$L$55,$L$62,$L$71,$L$75))</f>
        <v>0</v>
      </c>
      <c r="N48" s="50"/>
      <c r="O48" s="35"/>
      <c r="P48" s="36"/>
      <c r="Q48" s="43"/>
      <c r="R48" s="38"/>
      <c r="S48" s="29"/>
      <c r="T48" s="28"/>
      <c r="U48" s="28"/>
      <c r="V48" s="28"/>
      <c r="W48" s="29"/>
      <c r="X48" s="28"/>
      <c r="Y48" s="28"/>
      <c r="Z48" s="28"/>
      <c r="AA48" s="27"/>
      <c r="AB48" s="28"/>
      <c r="AC48" s="28"/>
      <c r="AD48" s="28"/>
      <c r="AE48" s="27"/>
      <c r="AF48" s="28"/>
      <c r="AG48" s="28"/>
      <c r="AH48" s="28"/>
      <c r="AI48" s="137"/>
      <c r="AJ48" s="138"/>
      <c r="AK48" s="140">
        <f>SUM(AK49:AK54)</f>
        <v>0</v>
      </c>
    </row>
    <row r="49" spans="2:37" s="19" customFormat="1" ht="11.1" customHeight="1" x14ac:dyDescent="0.25">
      <c r="B49" s="68" t="s">
        <v>124</v>
      </c>
      <c r="C49" s="56" t="s">
        <v>125</v>
      </c>
      <c r="D49" s="56"/>
      <c r="E49" s="56"/>
      <c r="F49" s="56"/>
      <c r="G49" s="56"/>
      <c r="H49" s="56"/>
      <c r="I49" s="56"/>
      <c r="J49" s="193"/>
      <c r="K49" s="194">
        <v>0.05</v>
      </c>
      <c r="L49" s="195">
        <f>ROUND(K49*FRE!$M$187,2)</f>
        <v>0</v>
      </c>
      <c r="M49" s="130"/>
      <c r="N49" s="20"/>
      <c r="O49" s="39">
        <f t="shared" ref="O49:O54" si="5">IF($O$24=$T$20,T49,IF($O$24=$X$20,X49,IF($O$24=$AB$20,AB49,AF49)))</f>
        <v>0.04</v>
      </c>
      <c r="P49" s="40" t="s">
        <v>195</v>
      </c>
      <c r="Q49" s="41">
        <f>IF(OR(FRE!$N$189="não",FRE!$N$189&lt;"0"),   IF($O$24=$T$20,U49,IF($O$24=$X$20,Y49,IF($O$24=$AB$20,AC49,AG49))),  IF($O$24=$T$20,V49,IF($O$24=$X$20,Z49,IF($O$24=$AB$20,AD49,AH49))))</f>
        <v>0.08</v>
      </c>
      <c r="R49" s="42" t="str">
        <f t="shared" ref="R49:R54" si="6">IF(K49&gt;Q49,"Excedeu limites",IF(K49&lt;O49,"Abaixo do limite","ok"))</f>
        <v>ok</v>
      </c>
      <c r="S49" s="29"/>
      <c r="T49" s="30">
        <v>0.04</v>
      </c>
      <c r="U49" s="30">
        <v>0.08</v>
      </c>
      <c r="V49" s="30">
        <v>9.5000000000000001E-2</v>
      </c>
      <c r="W49" s="29"/>
      <c r="X49" s="30">
        <v>0.04</v>
      </c>
      <c r="Y49" s="30">
        <v>0.08</v>
      </c>
      <c r="Z49" s="30">
        <v>9.5000000000000001E-2</v>
      </c>
      <c r="AA49" s="27"/>
      <c r="AB49" s="30">
        <v>0.01</v>
      </c>
      <c r="AC49" s="30">
        <v>0.06</v>
      </c>
      <c r="AD49" s="30">
        <v>7.0000000000000007E-2</v>
      </c>
      <c r="AE49" s="27"/>
      <c r="AF49" s="30">
        <v>0.02</v>
      </c>
      <c r="AG49" s="30">
        <v>0.08</v>
      </c>
      <c r="AH49" s="30">
        <v>9.5000000000000001E-2</v>
      </c>
      <c r="AI49" s="137">
        <f>SUM(Orç_analítico_Hab!M164:'Orç_analítico_Hab'!M171)/IF(Orç_analítico_Hab!M$430=0,1,Orç_analítico_Hab!M$430)</f>
        <v>0</v>
      </c>
      <c r="AJ49" s="138">
        <f>AI49-ROUND(AI49,4)+AJ47</f>
        <v>0</v>
      </c>
      <c r="AK49" s="139">
        <f t="shared" si="4"/>
        <v>0</v>
      </c>
    </row>
    <row r="50" spans="2:37" s="19" customFormat="1" ht="11.1" customHeight="1" x14ac:dyDescent="0.25">
      <c r="B50" s="68" t="s">
        <v>126</v>
      </c>
      <c r="C50" s="56" t="s">
        <v>127</v>
      </c>
      <c r="D50" s="56"/>
      <c r="E50" s="56"/>
      <c r="F50" s="56"/>
      <c r="G50" s="56"/>
      <c r="H50" s="56"/>
      <c r="I50" s="56"/>
      <c r="J50" s="193"/>
      <c r="K50" s="194">
        <v>0.03</v>
      </c>
      <c r="L50" s="195">
        <f>ROUND(K50*FRE!$M$187,2)</f>
        <v>0</v>
      </c>
      <c r="M50" s="130"/>
      <c r="N50" s="20"/>
      <c r="O50" s="39">
        <f t="shared" si="5"/>
        <v>0.03</v>
      </c>
      <c r="P50" s="40" t="s">
        <v>195</v>
      </c>
      <c r="Q50" s="41">
        <f>IF(OR(FRE!$N$189="não",FRE!$N$189&lt;"0"),   IF($O$24=$T$20,U50,IF($O$24=$X$20,Y50,IF($O$24=$AB$20,AC50,AG50))),  IF($O$24=$T$20,V50,IF($O$24=$X$20,Z50,IF($O$24=$AB$20,AD50,AH50))))</f>
        <v>0.06</v>
      </c>
      <c r="R50" s="42" t="str">
        <f t="shared" si="6"/>
        <v>ok</v>
      </c>
      <c r="S50" s="29"/>
      <c r="T50" s="30">
        <v>0.03</v>
      </c>
      <c r="U50" s="30">
        <v>0.06</v>
      </c>
      <c r="V50" s="30">
        <v>7.0000000000000007E-2</v>
      </c>
      <c r="W50" s="29"/>
      <c r="X50" s="30">
        <v>2.5000000000000001E-2</v>
      </c>
      <c r="Y50" s="30">
        <v>0.06</v>
      </c>
      <c r="Z50" s="30">
        <v>7.0000000000000007E-2</v>
      </c>
      <c r="AA50" s="27"/>
      <c r="AB50" s="30">
        <v>0.01</v>
      </c>
      <c r="AC50" s="30">
        <v>0.06</v>
      </c>
      <c r="AD50" s="30">
        <v>7.0000000000000007E-2</v>
      </c>
      <c r="AE50" s="27"/>
      <c r="AF50" s="30">
        <v>2.5000000000000001E-2</v>
      </c>
      <c r="AG50" s="30">
        <v>0.06</v>
      </c>
      <c r="AH50" s="30">
        <v>7.0000000000000007E-2</v>
      </c>
      <c r="AI50" s="137">
        <f>SUM(Orç_analítico_Hab!M174:'Orç_analítico_Hab'!M182)/IF(Orç_analítico_Hab!M$430=0,1,Orç_analítico_Hab!M$430)</f>
        <v>0</v>
      </c>
      <c r="AJ50" s="138">
        <f>AI50-ROUND(AI50,4)+AJ49</f>
        <v>0</v>
      </c>
      <c r="AK50" s="139">
        <f t="shared" si="4"/>
        <v>0</v>
      </c>
    </row>
    <row r="51" spans="2:37" s="19" customFormat="1" ht="11.1" customHeight="1" x14ac:dyDescent="0.25">
      <c r="B51" s="68" t="s">
        <v>128</v>
      </c>
      <c r="C51" s="56" t="s">
        <v>129</v>
      </c>
      <c r="D51" s="56"/>
      <c r="E51" s="56"/>
      <c r="F51" s="56"/>
      <c r="G51" s="56"/>
      <c r="H51" s="56"/>
      <c r="I51" s="56"/>
      <c r="J51" s="193"/>
      <c r="K51" s="194">
        <v>0.04</v>
      </c>
      <c r="L51" s="195">
        <f>ROUND(K51*FRE!$M$187,2)</f>
        <v>0</v>
      </c>
      <c r="M51" s="130"/>
      <c r="N51" s="20"/>
      <c r="O51" s="39">
        <f t="shared" si="5"/>
        <v>0.04</v>
      </c>
      <c r="P51" s="40" t="s">
        <v>195</v>
      </c>
      <c r="Q51" s="41">
        <f>IF(OR(FRE!$N$189="não",FRE!$N$189&lt;"0"),   IF($O$24=$T$20,U51,IF($O$24=$X$20,Y51,IF($O$24=$AB$20,AC51,AG51))),  IF($O$24=$T$20,V51,IF($O$24=$X$20,Z51,IF($O$24=$AB$20,AD51,AH51))))</f>
        <v>0.08</v>
      </c>
      <c r="R51" s="42" t="str">
        <f t="shared" si="6"/>
        <v>ok</v>
      </c>
      <c r="S51" s="29"/>
      <c r="T51" s="30">
        <v>0.04</v>
      </c>
      <c r="U51" s="30">
        <v>0.08</v>
      </c>
      <c r="V51" s="30">
        <v>9.5000000000000001E-2</v>
      </c>
      <c r="W51" s="29"/>
      <c r="X51" s="30">
        <v>0.04</v>
      </c>
      <c r="Y51" s="30">
        <v>0.06</v>
      </c>
      <c r="Z51" s="30">
        <v>7.0000000000000007E-2</v>
      </c>
      <c r="AA51" s="27"/>
      <c r="AB51" s="30">
        <v>0.04</v>
      </c>
      <c r="AC51" s="30">
        <v>0.08</v>
      </c>
      <c r="AD51" s="30">
        <v>9.5000000000000001E-2</v>
      </c>
      <c r="AE51" s="27"/>
      <c r="AF51" s="30">
        <v>0.02</v>
      </c>
      <c r="AG51" s="30">
        <v>0.06</v>
      </c>
      <c r="AH51" s="30">
        <v>7.0000000000000007E-2</v>
      </c>
      <c r="AI51" s="137">
        <f>SUM(Orç_analítico_Hab!M185:'Orç_analítico_Hab'!M191)/IF(Orç_analítico_Hab!M$430=0,1,Orç_analítico_Hab!M$430)</f>
        <v>0</v>
      </c>
      <c r="AJ51" s="138">
        <f>AI51-ROUND(AI51,4)+AJ50</f>
        <v>0</v>
      </c>
      <c r="AK51" s="139">
        <f t="shared" si="4"/>
        <v>0</v>
      </c>
    </row>
    <row r="52" spans="2:37" s="19" customFormat="1" ht="11.1" customHeight="1" x14ac:dyDescent="0.25">
      <c r="B52" s="68" t="s">
        <v>130</v>
      </c>
      <c r="C52" s="56" t="s">
        <v>131</v>
      </c>
      <c r="D52" s="56"/>
      <c r="E52" s="56"/>
      <c r="F52" s="56"/>
      <c r="G52" s="56"/>
      <c r="H52" s="56"/>
      <c r="I52" s="56"/>
      <c r="J52" s="193"/>
      <c r="K52" s="194">
        <v>5.0000000000000001E-3</v>
      </c>
      <c r="L52" s="195">
        <f>ROUND(K52*FRE!$M$187,2)</f>
        <v>0</v>
      </c>
      <c r="M52" s="130"/>
      <c r="N52" s="20"/>
      <c r="O52" s="39">
        <f t="shared" si="5"/>
        <v>5.0000000000000001E-3</v>
      </c>
      <c r="P52" s="40" t="s">
        <v>195</v>
      </c>
      <c r="Q52" s="41">
        <f>IF(OR(FRE!$N$189="não",FRE!$N$189&lt;"0"),   IF($O$24=$T$20,U52,IF($O$24=$X$20,Y52,IF($O$24=$AB$20,AC52,AG52))),  IF($O$24=$T$20,V52,IF($O$24=$X$20,Z52,IF($O$24=$AB$20,AD52,AH52))))</f>
        <v>0.04</v>
      </c>
      <c r="R52" s="42" t="str">
        <f t="shared" si="6"/>
        <v>ok</v>
      </c>
      <c r="S52" s="29"/>
      <c r="T52" s="30">
        <v>5.0000000000000001E-3</v>
      </c>
      <c r="U52" s="30">
        <v>0.04</v>
      </c>
      <c r="V52" s="30">
        <v>4.4999999999999998E-2</v>
      </c>
      <c r="W52" s="29"/>
      <c r="X52" s="30">
        <v>5.0000000000000001E-3</v>
      </c>
      <c r="Y52" s="30">
        <v>0.03</v>
      </c>
      <c r="Z52" s="30">
        <v>3.5000000000000003E-2</v>
      </c>
      <c r="AA52" s="27"/>
      <c r="AB52" s="30">
        <v>5.0000000000000001E-3</v>
      </c>
      <c r="AC52" s="30">
        <v>0.03</v>
      </c>
      <c r="AD52" s="30">
        <v>3.5000000000000003E-2</v>
      </c>
      <c r="AE52" s="27"/>
      <c r="AF52" s="30">
        <v>0</v>
      </c>
      <c r="AG52" s="30">
        <v>0.03</v>
      </c>
      <c r="AH52" s="30">
        <v>3.5000000000000003E-2</v>
      </c>
      <c r="AI52" s="137">
        <f>SUM(Orç_analítico_Hab!M194:'Orç_analítico_Hab'!M199)/IF(Orç_analítico_Hab!M$430=0,1,Orç_analítico_Hab!M$430)</f>
        <v>0</v>
      </c>
      <c r="AJ52" s="138">
        <f>AI52-ROUND(AI52,4)+AJ51</f>
        <v>0</v>
      </c>
      <c r="AK52" s="139">
        <f t="shared" si="4"/>
        <v>0</v>
      </c>
    </row>
    <row r="53" spans="2:37" s="19" customFormat="1" ht="11.1" customHeight="1" x14ac:dyDescent="0.25">
      <c r="B53" s="68" t="s">
        <v>132</v>
      </c>
      <c r="C53" s="56" t="s">
        <v>133</v>
      </c>
      <c r="D53" s="56"/>
      <c r="E53" s="56"/>
      <c r="F53" s="56"/>
      <c r="G53" s="56"/>
      <c r="H53" s="56"/>
      <c r="I53" s="56"/>
      <c r="J53" s="193"/>
      <c r="K53" s="194">
        <v>0.06</v>
      </c>
      <c r="L53" s="195">
        <f>ROUND(K53*FRE!$M$187,2)</f>
        <v>0</v>
      </c>
      <c r="M53" s="130"/>
      <c r="N53" s="20"/>
      <c r="O53" s="39">
        <f t="shared" si="5"/>
        <v>0.06</v>
      </c>
      <c r="P53" s="40" t="s">
        <v>195</v>
      </c>
      <c r="Q53" s="41">
        <f>IF(OR(FRE!$N$189="não",FRE!$N$189&lt;"0"),   IF($O$24=$T$20,U53,IF($O$24=$X$20,Y53,IF($O$24=$AB$20,AC53,AG53))),  IF($O$24=$T$20,V53,IF($O$24=$X$20,Z53,IF($O$24=$AB$20,AD53,AH53))))</f>
        <v>0.09</v>
      </c>
      <c r="R53" s="42" t="str">
        <f t="shared" si="6"/>
        <v>ok</v>
      </c>
      <c r="S53" s="29"/>
      <c r="T53" s="30">
        <v>0.06</v>
      </c>
      <c r="U53" s="30">
        <v>0.09</v>
      </c>
      <c r="V53" s="30">
        <v>0.105</v>
      </c>
      <c r="W53" s="29"/>
      <c r="X53" s="30">
        <v>0.05</v>
      </c>
      <c r="Y53" s="30">
        <v>0.09</v>
      </c>
      <c r="Z53" s="30">
        <v>0.1</v>
      </c>
      <c r="AA53" s="27"/>
      <c r="AB53" s="30">
        <v>2.5000000000000001E-2</v>
      </c>
      <c r="AC53" s="30">
        <v>0.09</v>
      </c>
      <c r="AD53" s="30">
        <v>0.1</v>
      </c>
      <c r="AE53" s="27"/>
      <c r="AF53" s="30">
        <v>7.0000000000000007E-2</v>
      </c>
      <c r="AG53" s="30">
        <v>0.12</v>
      </c>
      <c r="AH53" s="30">
        <v>0.14000000000000001</v>
      </c>
      <c r="AI53" s="137">
        <f>SUM(Orç_analítico_Hab!M202:'Orç_analítico_Hab'!M217)/IF(Orç_analítico_Hab!M$430=0,1,Orç_analítico_Hab!M$430)</f>
        <v>0</v>
      </c>
      <c r="AJ53" s="138">
        <f>AI53-ROUND(AI53,4)+AJ52</f>
        <v>0</v>
      </c>
      <c r="AK53" s="139">
        <f t="shared" si="4"/>
        <v>0</v>
      </c>
    </row>
    <row r="54" spans="2:37" s="19" customFormat="1" ht="11.1" customHeight="1" x14ac:dyDescent="0.25">
      <c r="B54" s="68" t="s">
        <v>134</v>
      </c>
      <c r="C54" s="56" t="s">
        <v>135</v>
      </c>
      <c r="D54" s="56"/>
      <c r="E54" s="56"/>
      <c r="F54" s="56"/>
      <c r="G54" s="56"/>
      <c r="H54" s="56"/>
      <c r="I54" s="56"/>
      <c r="J54" s="193"/>
      <c r="K54" s="194">
        <v>0</v>
      </c>
      <c r="L54" s="195">
        <f>ROUND(K54*FRE!$M$187,2)</f>
        <v>0</v>
      </c>
      <c r="M54" s="130"/>
      <c r="N54" s="20"/>
      <c r="O54" s="39">
        <f t="shared" si="5"/>
        <v>0</v>
      </c>
      <c r="P54" s="40" t="s">
        <v>195</v>
      </c>
      <c r="Q54" s="41">
        <f>IF(OR(FRE!$N$189="não",FRE!$N$189&lt;"0"),   IF($O$24=$T$20,U54,IF($O$24=$X$20,Y54,IF($O$24=$AB$20,AC54,AG54))),  IF($O$24=$T$20,V54,IF($O$24=$X$20,Z54,IF($O$24=$AB$20,AD54,AH54))))</f>
        <v>0.02</v>
      </c>
      <c r="R54" s="42" t="str">
        <f t="shared" si="6"/>
        <v>ok</v>
      </c>
      <c r="S54" s="29"/>
      <c r="T54" s="30">
        <v>0</v>
      </c>
      <c r="U54" s="30">
        <v>0.02</v>
      </c>
      <c r="V54" s="30">
        <v>2.5000000000000001E-2</v>
      </c>
      <c r="W54" s="29"/>
      <c r="X54" s="30">
        <v>0</v>
      </c>
      <c r="Y54" s="30">
        <v>0.05</v>
      </c>
      <c r="Z54" s="30">
        <v>0.06</v>
      </c>
      <c r="AA54" s="27"/>
      <c r="AB54" s="30">
        <v>0.01</v>
      </c>
      <c r="AC54" s="30">
        <v>0.05</v>
      </c>
      <c r="AD54" s="30">
        <v>0.06</v>
      </c>
      <c r="AE54" s="27"/>
      <c r="AF54" s="30">
        <v>0</v>
      </c>
      <c r="AG54" s="30">
        <v>0.05</v>
      </c>
      <c r="AH54" s="30">
        <v>0.06</v>
      </c>
      <c r="AI54" s="137">
        <f>SUM(Orç_analítico_Hab!M220:'Orç_analítico_Hab'!M227)/IF(Orç_analítico_Hab!M$430=0,1,Orç_analítico_Hab!M$430)</f>
        <v>0</v>
      </c>
      <c r="AJ54" s="138">
        <f>AI54-ROUND(AI54,4)+AJ53</f>
        <v>0</v>
      </c>
      <c r="AK54" s="139">
        <f t="shared" si="4"/>
        <v>0</v>
      </c>
    </row>
    <row r="55" spans="2:37" s="19" customFormat="1" ht="11.1" customHeight="1" x14ac:dyDescent="0.25">
      <c r="B55" s="78">
        <v>7</v>
      </c>
      <c r="C55" s="57" t="s">
        <v>136</v>
      </c>
      <c r="D55" s="57"/>
      <c r="E55" s="57"/>
      <c r="F55" s="57"/>
      <c r="G55" s="57"/>
      <c r="H55" s="57"/>
      <c r="I55" s="57"/>
      <c r="J55" s="57"/>
      <c r="K55" s="191">
        <f>SUM(K56:K61)</f>
        <v>6.0000000000000005E-2</v>
      </c>
      <c r="L55" s="192">
        <f>SUM(L56:L61)</f>
        <v>0</v>
      </c>
      <c r="M55" s="129">
        <f xml:space="preserve"> IF(SUM($L$25,$L$36,$L$39,$L$40,$L$45,$L$48,$L$55,$L$62,$L$71,$L$75)=0,0,M48+L55/SUM($L$25,$L$36,$L$39,$L$40,$L$45,$L$48,$L$55,$L$62,$L$71,$L$75))</f>
        <v>0</v>
      </c>
      <c r="N55" s="50"/>
      <c r="O55" s="35"/>
      <c r="P55" s="36"/>
      <c r="Q55" s="43"/>
      <c r="R55" s="38"/>
      <c r="S55" s="29"/>
      <c r="T55" s="28"/>
      <c r="U55" s="28"/>
      <c r="V55" s="28"/>
      <c r="W55" s="29"/>
      <c r="X55" s="28"/>
      <c r="Y55" s="28"/>
      <c r="Z55" s="28"/>
      <c r="AA55" s="27"/>
      <c r="AB55" s="28"/>
      <c r="AC55" s="28"/>
      <c r="AD55" s="28"/>
      <c r="AE55" s="27"/>
      <c r="AF55" s="28"/>
      <c r="AG55" s="28"/>
      <c r="AH55" s="28"/>
      <c r="AI55" s="137"/>
      <c r="AK55" s="140">
        <f>SUM(AK56:AK61)</f>
        <v>0</v>
      </c>
    </row>
    <row r="56" spans="2:37" s="19" customFormat="1" ht="11.1" customHeight="1" x14ac:dyDescent="0.25">
      <c r="B56" s="68" t="s">
        <v>137</v>
      </c>
      <c r="C56" s="56" t="s">
        <v>138</v>
      </c>
      <c r="D56" s="56"/>
      <c r="E56" s="56"/>
      <c r="F56" s="56"/>
      <c r="G56" s="56"/>
      <c r="H56" s="56"/>
      <c r="I56" s="56"/>
      <c r="J56" s="193"/>
      <c r="K56" s="194">
        <v>0</v>
      </c>
      <c r="L56" s="195">
        <f>ROUND(K56*FRE!$M$187,2)</f>
        <v>0</v>
      </c>
      <c r="M56" s="130"/>
      <c r="N56" s="20"/>
      <c r="O56" s="39">
        <f t="shared" ref="O56:O61" si="7">IF($O$24=$T$20,T56,IF($O$24=$X$20,X56,IF($O$24=$AB$20,AB56,AF56)))</f>
        <v>0</v>
      </c>
      <c r="P56" s="40" t="s">
        <v>195</v>
      </c>
      <c r="Q56" s="41">
        <f>IF(OR(FRE!$N$189="não",FRE!$N$189&lt;"0"),   IF($O$24=$T$20,U56,IF($O$24=$X$20,Y56,IF($O$24=$AB$20,AC56,AG56))),  IF($O$24=$T$20,V56,IF($O$24=$X$20,Z56,IF($O$24=$AB$20,AD56,AH56))))</f>
        <v>0.04</v>
      </c>
      <c r="R56" s="42" t="str">
        <f t="shared" ref="R56:R61" si="8">IF(K56&gt;Q56,"Excedeu limites",IF(K56&lt;O56,"Abaixo do limite","ok"))</f>
        <v>ok</v>
      </c>
      <c r="S56" s="29"/>
      <c r="T56" s="30">
        <v>0</v>
      </c>
      <c r="U56" s="30">
        <v>0.04</v>
      </c>
      <c r="V56" s="30">
        <v>4.4999999999999998E-2</v>
      </c>
      <c r="W56" s="29"/>
      <c r="X56" s="30">
        <v>0</v>
      </c>
      <c r="Y56" s="30">
        <v>0.04</v>
      </c>
      <c r="Z56" s="30">
        <v>4.4999999999999998E-2</v>
      </c>
      <c r="AA56" s="27"/>
      <c r="AB56" s="30">
        <v>0</v>
      </c>
      <c r="AC56" s="30">
        <v>0.04</v>
      </c>
      <c r="AD56" s="30">
        <v>4.4999999999999998E-2</v>
      </c>
      <c r="AE56" s="27"/>
      <c r="AF56" s="30">
        <v>0</v>
      </c>
      <c r="AG56" s="30">
        <v>0.04</v>
      </c>
      <c r="AH56" s="30">
        <v>4.4999999999999998E-2</v>
      </c>
      <c r="AI56" s="137">
        <f>SUM(Orç_analítico_Hab!M232:'Orç_analítico_Hab'!M238)/IF(Orç_analítico_Hab!M$430=0,1,Orç_analítico_Hab!M$430)</f>
        <v>0</v>
      </c>
      <c r="AJ56" s="138">
        <f>AI56-ROUND(AI56,4)+AJ54</f>
        <v>0</v>
      </c>
      <c r="AK56" s="139">
        <f t="shared" ref="AK56:AK61" si="9">ROUND(L56,2)</f>
        <v>0</v>
      </c>
    </row>
    <row r="57" spans="2:37" s="19" customFormat="1" ht="11.1" customHeight="1" x14ac:dyDescent="0.25">
      <c r="B57" s="68" t="s">
        <v>139</v>
      </c>
      <c r="C57" s="56" t="s">
        <v>140</v>
      </c>
      <c r="D57" s="56"/>
      <c r="E57" s="56"/>
      <c r="F57" s="56"/>
      <c r="G57" s="56"/>
      <c r="H57" s="56"/>
      <c r="I57" s="56"/>
      <c r="J57" s="193"/>
      <c r="K57" s="194">
        <v>3.5000000000000003E-2</v>
      </c>
      <c r="L57" s="195">
        <f>ROUND(K57*FRE!$M$187,2)</f>
        <v>0</v>
      </c>
      <c r="M57" s="130"/>
      <c r="N57" s="20"/>
      <c r="O57" s="39">
        <f t="shared" si="7"/>
        <v>0.01</v>
      </c>
      <c r="P57" s="40" t="s">
        <v>195</v>
      </c>
      <c r="Q57" s="41">
        <f>IF(OR(FRE!$N$189="não",FRE!$N$189&lt;"0"),   IF($O$24=$T$20,U57,IF($O$24=$X$20,Y57,IF($O$24=$AB$20,AC57,AG57))),  IF($O$24=$T$20,V57,IF($O$24=$X$20,Z57,IF($O$24=$AB$20,AD57,AH57))))</f>
        <v>0.1</v>
      </c>
      <c r="R57" s="42" t="str">
        <f t="shared" si="8"/>
        <v>ok</v>
      </c>
      <c r="S57" s="29"/>
      <c r="T57" s="30">
        <v>0.01</v>
      </c>
      <c r="U57" s="30">
        <v>0.1</v>
      </c>
      <c r="V57" s="30">
        <v>0.12</v>
      </c>
      <c r="W57" s="29"/>
      <c r="X57" s="30">
        <v>0.02</v>
      </c>
      <c r="Y57" s="30">
        <v>7.0000000000000007E-2</v>
      </c>
      <c r="Z57" s="30">
        <v>8.5000000000000006E-2</v>
      </c>
      <c r="AA57" s="27"/>
      <c r="AB57" s="30">
        <v>0.02</v>
      </c>
      <c r="AC57" s="30">
        <v>7.0000000000000007E-2</v>
      </c>
      <c r="AD57" s="30">
        <v>8.5000000000000006E-2</v>
      </c>
      <c r="AE57" s="27"/>
      <c r="AF57" s="30">
        <v>0.02</v>
      </c>
      <c r="AG57" s="30">
        <v>7.0000000000000007E-2</v>
      </c>
      <c r="AH57" s="30">
        <v>8.5000000000000006E-2</v>
      </c>
      <c r="AI57" s="137">
        <f>SUM(Orç_analítico_Hab!M241:'Orç_analítico_Hab'!M246)/IF(Orç_analítico_Hab!M$430=0,1,Orç_analítico_Hab!M$430)</f>
        <v>0</v>
      </c>
      <c r="AJ57" s="138">
        <f>AI57-ROUND(AI57,4)+AJ56</f>
        <v>0</v>
      </c>
      <c r="AK57" s="139">
        <f t="shared" si="9"/>
        <v>0</v>
      </c>
    </row>
    <row r="58" spans="2:37" s="19" customFormat="1" ht="11.1" customHeight="1" x14ac:dyDescent="0.25">
      <c r="B58" s="68" t="s">
        <v>141</v>
      </c>
      <c r="C58" s="56" t="s">
        <v>142</v>
      </c>
      <c r="D58" s="56"/>
      <c r="E58" s="56"/>
      <c r="F58" s="56"/>
      <c r="G58" s="56"/>
      <c r="H58" s="56"/>
      <c r="I58" s="56"/>
      <c r="J58" s="193"/>
      <c r="K58" s="194">
        <f>ROUND(AI58,4)</f>
        <v>0</v>
      </c>
      <c r="L58" s="195">
        <f>ROUND(K58*FRE!$M$187,2)</f>
        <v>0</v>
      </c>
      <c r="M58" s="130"/>
      <c r="N58" s="20"/>
      <c r="O58" s="39">
        <f t="shared" si="7"/>
        <v>0</v>
      </c>
      <c r="P58" s="40" t="s">
        <v>195</v>
      </c>
      <c r="Q58" s="41">
        <f>IF(OR(FRE!$N$189="não",FRE!$N$189&lt;"0"),   IF($O$24=$T$20,U58,IF($O$24=$X$20,Y58,IF($O$24=$AB$20,AC58,AG58))),  IF($O$24=$T$20,V58,IF($O$24=$X$20,Z58,IF($O$24=$AB$20,AD58,AH58))))</f>
        <v>0.03</v>
      </c>
      <c r="R58" s="42" t="str">
        <f t="shared" si="8"/>
        <v>ok</v>
      </c>
      <c r="S58" s="29"/>
      <c r="T58" s="30">
        <v>0</v>
      </c>
      <c r="U58" s="30">
        <v>0.03</v>
      </c>
      <c r="V58" s="30">
        <v>3.5000000000000003E-2</v>
      </c>
      <c r="W58" s="29"/>
      <c r="X58" s="30">
        <v>0</v>
      </c>
      <c r="Y58" s="30">
        <v>0.03</v>
      </c>
      <c r="Z58" s="30">
        <v>3.5000000000000003E-2</v>
      </c>
      <c r="AA58" s="27"/>
      <c r="AB58" s="30">
        <v>0</v>
      </c>
      <c r="AC58" s="30">
        <v>0.03</v>
      </c>
      <c r="AD58" s="30">
        <v>3.5000000000000003E-2</v>
      </c>
      <c r="AE58" s="27"/>
      <c r="AF58" s="30">
        <v>0</v>
      </c>
      <c r="AG58" s="30">
        <v>0.03</v>
      </c>
      <c r="AH58" s="30">
        <v>3.5000000000000003E-2</v>
      </c>
      <c r="AI58" s="137">
        <f>SUM(Orç_analítico_Hab!M249:'Orç_analítico_Hab'!M253)/IF(Orç_analítico_Hab!M$430=0,1,Orç_analítico_Hab!M$430)</f>
        <v>0</v>
      </c>
      <c r="AJ58" s="138">
        <f t="shared" ref="AJ58:AJ74" si="10">AI58-ROUND(AI58,4)+AJ57</f>
        <v>0</v>
      </c>
      <c r="AK58" s="139">
        <f t="shared" si="9"/>
        <v>0</v>
      </c>
    </row>
    <row r="59" spans="2:37" s="19" customFormat="1" ht="11.1" customHeight="1" x14ac:dyDescent="0.25">
      <c r="B59" s="68" t="s">
        <v>143</v>
      </c>
      <c r="C59" s="56" t="s">
        <v>144</v>
      </c>
      <c r="D59" s="56"/>
      <c r="E59" s="56"/>
      <c r="F59" s="56"/>
      <c r="G59" s="56"/>
      <c r="H59" s="56"/>
      <c r="I59" s="56"/>
      <c r="J59" s="193"/>
      <c r="K59" s="194">
        <v>1.4999999999999999E-2</v>
      </c>
      <c r="L59" s="195">
        <f>ROUND(K59*FRE!$M$187,2)</f>
        <v>0</v>
      </c>
      <c r="M59" s="130"/>
      <c r="N59" s="20"/>
      <c r="O59" s="39">
        <f t="shared" si="7"/>
        <v>1.4999999999999999E-2</v>
      </c>
      <c r="P59" s="40" t="s">
        <v>195</v>
      </c>
      <c r="Q59" s="41">
        <f>IF(OR(FRE!$N$189="não",FRE!$N$189&lt;"0"),   IF($O$24=$T$20,U59,IF($O$24=$X$20,Y59,IF($O$24=$AB$20,AC59,AG59))),  IF($O$24=$T$20,V59,IF($O$24=$X$20,Z59,IF($O$24=$AB$20,AD59,AH59))))</f>
        <v>3.5000000000000003E-2</v>
      </c>
      <c r="R59" s="42" t="str">
        <f t="shared" si="8"/>
        <v>ok</v>
      </c>
      <c r="S59" s="29"/>
      <c r="T59" s="30">
        <v>1.4999999999999999E-2</v>
      </c>
      <c r="U59" s="30">
        <v>3.5000000000000003E-2</v>
      </c>
      <c r="V59" s="30">
        <v>0.04</v>
      </c>
      <c r="W59" s="29"/>
      <c r="X59" s="30">
        <v>0.01</v>
      </c>
      <c r="Y59" s="30">
        <v>0.03</v>
      </c>
      <c r="Z59" s="30">
        <v>3.5000000000000003E-2</v>
      </c>
      <c r="AA59" s="27"/>
      <c r="AB59" s="30">
        <v>0.01</v>
      </c>
      <c r="AC59" s="30">
        <v>0.03</v>
      </c>
      <c r="AD59" s="30">
        <v>3.5000000000000003E-2</v>
      </c>
      <c r="AE59" s="27"/>
      <c r="AF59" s="30">
        <v>0.01</v>
      </c>
      <c r="AG59" s="30">
        <v>0.03</v>
      </c>
      <c r="AH59" s="30">
        <v>3.5000000000000003E-2</v>
      </c>
      <c r="AI59" s="137">
        <f>SUM(Orç_analítico_Hab!M256:'Orç_analítico_Hab'!M260)/IF(Orç_analítico_Hab!M$430=0,1,Orç_analítico_Hab!M$430)</f>
        <v>0</v>
      </c>
      <c r="AJ59" s="138">
        <f t="shared" si="10"/>
        <v>0</v>
      </c>
      <c r="AK59" s="139">
        <f t="shared" si="9"/>
        <v>0</v>
      </c>
    </row>
    <row r="60" spans="2:37" s="19" customFormat="1" ht="11.1" customHeight="1" x14ac:dyDescent="0.25">
      <c r="B60" s="68" t="s">
        <v>145</v>
      </c>
      <c r="C60" s="56" t="s">
        <v>146</v>
      </c>
      <c r="D60" s="56"/>
      <c r="E60" s="56"/>
      <c r="F60" s="56"/>
      <c r="G60" s="56"/>
      <c r="H60" s="56"/>
      <c r="I60" s="56"/>
      <c r="J60" s="193"/>
      <c r="K60" s="194">
        <v>0.01</v>
      </c>
      <c r="L60" s="195">
        <f>ROUND(K60*FRE!$M$187,2)</f>
        <v>0</v>
      </c>
      <c r="M60" s="130"/>
      <c r="N60" s="20"/>
      <c r="O60" s="39">
        <f t="shared" si="7"/>
        <v>0.01</v>
      </c>
      <c r="P60" s="40" t="s">
        <v>195</v>
      </c>
      <c r="Q60" s="41">
        <f>IF(OR(FRE!$N$189="não",FRE!$N$189&lt;"0"),   IF($O$24=$T$20,U60,IF($O$24=$X$20,Y60,IF($O$24=$AB$20,AC60,AG60))),  IF($O$24=$T$20,V60,IF($O$24=$X$20,Z60,IF($O$24=$AB$20,AD60,AH60))))</f>
        <v>0.04</v>
      </c>
      <c r="R60" s="42" t="str">
        <f t="shared" si="8"/>
        <v>ok</v>
      </c>
      <c r="S60" s="29"/>
      <c r="T60" s="30">
        <v>0.01</v>
      </c>
      <c r="U60" s="30">
        <v>0.04</v>
      </c>
      <c r="V60" s="30">
        <v>4.4999999999999998E-2</v>
      </c>
      <c r="W60" s="29"/>
      <c r="X60" s="30">
        <v>0.01</v>
      </c>
      <c r="Y60" s="30">
        <v>0.04</v>
      </c>
      <c r="Z60" s="30">
        <v>4.4999999999999998E-2</v>
      </c>
      <c r="AA60" s="27"/>
      <c r="AB60" s="30">
        <v>0.01</v>
      </c>
      <c r="AC60" s="30">
        <v>0.04</v>
      </c>
      <c r="AD60" s="30">
        <v>4.4999999999999998E-2</v>
      </c>
      <c r="AE60" s="27"/>
      <c r="AF60" s="30">
        <v>0.01</v>
      </c>
      <c r="AG60" s="30">
        <v>0.04</v>
      </c>
      <c r="AH60" s="30">
        <v>4.4999999999999998E-2</v>
      </c>
      <c r="AI60" s="137">
        <f>SUM(Orç_analítico_Hab!M263:'Orç_analítico_Hab'!M280)/IF(Orç_analítico_Hab!M$430=0,1,Orç_analítico_Hab!M$430)</f>
        <v>0</v>
      </c>
      <c r="AJ60" s="138">
        <f t="shared" si="10"/>
        <v>0</v>
      </c>
      <c r="AK60" s="139">
        <f t="shared" si="9"/>
        <v>0</v>
      </c>
    </row>
    <row r="61" spans="2:37" s="19" customFormat="1" ht="11.1" customHeight="1" x14ac:dyDescent="0.25">
      <c r="B61" s="68" t="s">
        <v>147</v>
      </c>
      <c r="C61" s="56" t="s">
        <v>148</v>
      </c>
      <c r="D61" s="56"/>
      <c r="E61" s="56"/>
      <c r="F61" s="56"/>
      <c r="G61" s="56"/>
      <c r="H61" s="56"/>
      <c r="I61" s="56"/>
      <c r="J61" s="193"/>
      <c r="K61" s="194">
        <v>0</v>
      </c>
      <c r="L61" s="195">
        <f>ROUND(K61*FRE!$M$187,2)</f>
        <v>0</v>
      </c>
      <c r="M61" s="130"/>
      <c r="N61" s="20"/>
      <c r="O61" s="39">
        <f t="shared" si="7"/>
        <v>0</v>
      </c>
      <c r="P61" s="40" t="s">
        <v>195</v>
      </c>
      <c r="Q61" s="41">
        <f>IF(OR(FRE!$N$189="não",FRE!$N$189&lt;"0"),   IF($O$24=$T$20,U61,IF($O$24=$X$20,Y61,IF($O$24=$AB$20,AC61,AG61))),  IF($O$24=$T$20,V61,IF($O$24=$X$20,Z61,IF($O$24=$AB$20,AD61,AH61))))</f>
        <v>7.0000000000000007E-2</v>
      </c>
      <c r="R61" s="42" t="str">
        <f t="shared" si="8"/>
        <v>ok</v>
      </c>
      <c r="S61" s="29"/>
      <c r="T61" s="30">
        <v>0</v>
      </c>
      <c r="U61" s="30">
        <v>7.0000000000000007E-2</v>
      </c>
      <c r="V61" s="30">
        <v>0.08</v>
      </c>
      <c r="W61" s="29"/>
      <c r="X61" s="30">
        <v>0</v>
      </c>
      <c r="Y61" s="30">
        <v>7.0000000000000007E-2</v>
      </c>
      <c r="Z61" s="30">
        <v>8.5000000000000006E-2</v>
      </c>
      <c r="AA61" s="27"/>
      <c r="AB61" s="30">
        <v>0</v>
      </c>
      <c r="AC61" s="30">
        <v>7.0000000000000007E-2</v>
      </c>
      <c r="AD61" s="30">
        <v>8.5000000000000006E-2</v>
      </c>
      <c r="AE61" s="27"/>
      <c r="AF61" s="30">
        <v>0</v>
      </c>
      <c r="AG61" s="30">
        <v>7.0000000000000007E-2</v>
      </c>
      <c r="AH61" s="30">
        <v>8.5000000000000006E-2</v>
      </c>
      <c r="AI61" s="137">
        <f>SUM(Orç_analítico_Hab!M283:'Orç_analítico_Hab'!M289)/IF(Orç_analítico_Hab!M$430=0,1,Orç_analítico_Hab!M$430)</f>
        <v>0</v>
      </c>
      <c r="AJ61" s="138">
        <f t="shared" si="10"/>
        <v>0</v>
      </c>
      <c r="AK61" s="139">
        <f t="shared" si="9"/>
        <v>0</v>
      </c>
    </row>
    <row r="62" spans="2:37" s="19" customFormat="1" ht="11.1" customHeight="1" x14ac:dyDescent="0.25">
      <c r="B62" s="78">
        <v>8</v>
      </c>
      <c r="C62" s="57" t="s">
        <v>149</v>
      </c>
      <c r="D62" s="57"/>
      <c r="E62" s="57"/>
      <c r="F62" s="57"/>
      <c r="G62" s="57"/>
      <c r="H62" s="57"/>
      <c r="I62" s="57"/>
      <c r="J62" s="57"/>
      <c r="K62" s="191">
        <f>SUM(K63:K70)</f>
        <v>0.15</v>
      </c>
      <c r="L62" s="192">
        <f>SUM(L63:L70)</f>
        <v>0</v>
      </c>
      <c r="M62" s="129">
        <f xml:space="preserve"> IF(SUM($L$25,$L$36,$L$39,$L$40,$L$45,$L$48,$L$55,$L$62,$L$71,$L$75)=0,0,M55+L62/SUM($L$25,$L$36,$L$39,$L$40,$L$45,$L$48,$L$55,$L$62,$L$71,$L$75))</f>
        <v>0</v>
      </c>
      <c r="N62" s="50"/>
      <c r="O62" s="35"/>
      <c r="P62" s="36"/>
      <c r="Q62" s="43"/>
      <c r="R62" s="38"/>
      <c r="S62" s="29"/>
      <c r="T62" s="28"/>
      <c r="U62" s="28"/>
      <c r="V62" s="28"/>
      <c r="W62" s="29"/>
      <c r="X62" s="28"/>
      <c r="Y62" s="28"/>
      <c r="Z62" s="28"/>
      <c r="AA62" s="27"/>
      <c r="AB62" s="28"/>
      <c r="AC62" s="28"/>
      <c r="AD62" s="28"/>
      <c r="AE62" s="27"/>
      <c r="AF62" s="28"/>
      <c r="AG62" s="28"/>
      <c r="AH62" s="28"/>
      <c r="AJ62" s="138"/>
      <c r="AK62" s="140">
        <f>SUM(AK63:AK70)</f>
        <v>0</v>
      </c>
    </row>
    <row r="63" spans="2:37" s="19" customFormat="1" ht="11.1" customHeight="1" x14ac:dyDescent="0.25">
      <c r="B63" s="68" t="s">
        <v>150</v>
      </c>
      <c r="C63" s="56" t="s">
        <v>151</v>
      </c>
      <c r="D63" s="56"/>
      <c r="E63" s="56"/>
      <c r="F63" s="56"/>
      <c r="G63" s="56"/>
      <c r="H63" s="56"/>
      <c r="I63" s="56"/>
      <c r="J63" s="193"/>
      <c r="K63" s="194">
        <v>0.05</v>
      </c>
      <c r="L63" s="195">
        <f>ROUND(K63*FRE!$M$187,2)</f>
        <v>0</v>
      </c>
      <c r="M63" s="130"/>
      <c r="N63" s="20"/>
      <c r="O63" s="39">
        <f t="shared" ref="O63:O70" si="11">IF($O$24=$T$20,T63,IF($O$24=$X$20,X63,IF($O$24=$AB$20,AB63,AF63)))</f>
        <v>0.05</v>
      </c>
      <c r="P63" s="40" t="s">
        <v>195</v>
      </c>
      <c r="Q63" s="41">
        <f>IF(OR(FRE!$N$189="não",FRE!$N$189&lt;"0"),   IF($O$24=$T$20,U63,IF($O$24=$X$20,Y63,IF($O$24=$AB$20,AC63,AG63))),  IF($O$24=$T$20,V63,IF($O$24=$X$20,Z63,IF($O$24=$AB$20,AD63,AH63))))</f>
        <v>0.1</v>
      </c>
      <c r="R63" s="42" t="str">
        <f t="shared" ref="R63:R70" si="12">IF(K63&gt;Q63,"Excedeu limites",IF(K63&lt;O63,"Abaixo do limite","ok"))</f>
        <v>ok</v>
      </c>
      <c r="S63" s="44"/>
      <c r="T63" s="30">
        <v>0.05</v>
      </c>
      <c r="U63" s="30">
        <v>0.1</v>
      </c>
      <c r="V63" s="30">
        <v>0.12</v>
      </c>
      <c r="W63" s="29"/>
      <c r="X63" s="30">
        <v>0.05</v>
      </c>
      <c r="Y63" s="30">
        <v>0.1</v>
      </c>
      <c r="Z63" s="30">
        <v>0.12</v>
      </c>
      <c r="AA63" s="27"/>
      <c r="AB63" s="30">
        <v>0.05</v>
      </c>
      <c r="AC63" s="30">
        <v>0.1</v>
      </c>
      <c r="AD63" s="30">
        <v>0.12</v>
      </c>
      <c r="AE63" s="27"/>
      <c r="AF63" s="30">
        <v>0.06</v>
      </c>
      <c r="AG63" s="30">
        <v>0.1</v>
      </c>
      <c r="AH63" s="30">
        <v>0.12</v>
      </c>
      <c r="AI63" s="137">
        <f>SUM(Orç_analítico_Hab!M294:'Orç_analítico_Hab'!M310)/IF(Orç_analítico_Hab!M$430=0,1,Orç_analítico_Hab!M$430)</f>
        <v>0</v>
      </c>
      <c r="AJ63" s="138">
        <f>AI63-ROUND(AI63,4)+AJ61</f>
        <v>0</v>
      </c>
      <c r="AK63" s="139">
        <f t="shared" ref="AK63:AK74" si="13">ROUND(L63,2)</f>
        <v>0</v>
      </c>
    </row>
    <row r="64" spans="2:37" s="19" customFormat="1" ht="11.1" customHeight="1" x14ac:dyDescent="0.25">
      <c r="B64" s="68" t="s">
        <v>152</v>
      </c>
      <c r="C64" s="56" t="s">
        <v>750</v>
      </c>
      <c r="D64" s="56"/>
      <c r="E64" s="56"/>
      <c r="F64" s="56"/>
      <c r="G64" s="56"/>
      <c r="H64" s="56"/>
      <c r="I64" s="56"/>
      <c r="J64" s="193"/>
      <c r="K64" s="194">
        <v>0.05</v>
      </c>
      <c r="L64" s="195">
        <f>ROUND(K64*FRE!$M$187,2)</f>
        <v>0</v>
      </c>
      <c r="M64" s="130"/>
      <c r="N64" s="20"/>
      <c r="O64" s="39">
        <f t="shared" si="11"/>
        <v>0.05</v>
      </c>
      <c r="P64" s="40" t="s">
        <v>195</v>
      </c>
      <c r="Q64" s="41">
        <f>IF(OR(FRE!$N$189="não",FRE!$N$189&lt;"0"),   IF($O$24=$T$20,U64,IF($O$24=$X$20,Y64,IF($O$24=$AB$20,AC64,AG64))),  IF($O$24=$T$20,V64,IF($O$24=$X$20,Z64,IF($O$24=$AB$20,AD64,AH64))))</f>
        <v>0.1</v>
      </c>
      <c r="R64" s="42" t="str">
        <f t="shared" si="12"/>
        <v>ok</v>
      </c>
      <c r="S64" s="44"/>
      <c r="T64" s="30">
        <v>0.05</v>
      </c>
      <c r="U64" s="30">
        <v>0.1</v>
      </c>
      <c r="V64" s="30">
        <v>0.12</v>
      </c>
      <c r="W64" s="29"/>
      <c r="X64" s="30">
        <v>0.05</v>
      </c>
      <c r="Y64" s="30">
        <v>0.1</v>
      </c>
      <c r="Z64" s="30">
        <v>0.12</v>
      </c>
      <c r="AA64" s="27"/>
      <c r="AB64" s="30">
        <v>0.03</v>
      </c>
      <c r="AC64" s="30">
        <v>0.08</v>
      </c>
      <c r="AD64" s="30">
        <v>9.5000000000000001E-2</v>
      </c>
      <c r="AE64" s="27"/>
      <c r="AF64" s="30">
        <v>0.05</v>
      </c>
      <c r="AG64" s="30">
        <v>0.1</v>
      </c>
      <c r="AH64" s="30">
        <v>0.12</v>
      </c>
      <c r="AI64" s="137">
        <f>SUM(Orç_analítico_Hab!M313:'Orç_analítico_Hab'!M345)/IF(Orç_analítico_Hab!M$430=0,1,Orç_analítico_Hab!M$430)</f>
        <v>0</v>
      </c>
      <c r="AJ64" s="138">
        <f t="shared" si="10"/>
        <v>0</v>
      </c>
      <c r="AK64" s="139">
        <f t="shared" si="13"/>
        <v>0</v>
      </c>
    </row>
    <row r="65" spans="2:37" s="19" customFormat="1" ht="11.1" customHeight="1" x14ac:dyDescent="0.25">
      <c r="B65" s="68" t="s">
        <v>153</v>
      </c>
      <c r="C65" s="56" t="s">
        <v>154</v>
      </c>
      <c r="D65" s="56"/>
      <c r="E65" s="56"/>
      <c r="F65" s="56"/>
      <c r="G65" s="56"/>
      <c r="H65" s="56"/>
      <c r="I65" s="56"/>
      <c r="J65" s="193"/>
      <c r="K65" s="194">
        <v>0.03</v>
      </c>
      <c r="L65" s="195">
        <f>ROUND(K65*FRE!$M$187,2)</f>
        <v>0</v>
      </c>
      <c r="M65" s="130"/>
      <c r="N65" s="20"/>
      <c r="O65" s="39">
        <f t="shared" si="11"/>
        <v>0.03</v>
      </c>
      <c r="P65" s="40" t="s">
        <v>195</v>
      </c>
      <c r="Q65" s="41">
        <f>IF(OR(FRE!$N$189="não",FRE!$N$189&lt;"0"),   IF($O$24=$T$20,U65,IF($O$24=$X$20,Y65,IF($O$24=$AB$20,AC65,AG65))),  IF($O$24=$T$20,V65,IF($O$24=$X$20,Z65,IF($O$24=$AB$20,AD65,AH65))))</f>
        <v>0.06</v>
      </c>
      <c r="R65" s="42" t="str">
        <f t="shared" si="12"/>
        <v>ok</v>
      </c>
      <c r="S65" s="44"/>
      <c r="T65" s="30">
        <v>0.03</v>
      </c>
      <c r="U65" s="30">
        <v>0.06</v>
      </c>
      <c r="V65" s="30">
        <v>7.0000000000000007E-2</v>
      </c>
      <c r="W65" s="29"/>
      <c r="X65" s="30">
        <v>0.03</v>
      </c>
      <c r="Y65" s="30">
        <v>0.06</v>
      </c>
      <c r="Z65" s="30">
        <v>7.0000000000000007E-2</v>
      </c>
      <c r="AA65" s="27"/>
      <c r="AB65" s="30">
        <v>0.02</v>
      </c>
      <c r="AC65" s="30">
        <v>0.06</v>
      </c>
      <c r="AD65" s="30">
        <v>7.0000000000000007E-2</v>
      </c>
      <c r="AE65" s="27"/>
      <c r="AF65" s="30">
        <v>0.03</v>
      </c>
      <c r="AG65" s="30">
        <v>0.06</v>
      </c>
      <c r="AH65" s="30">
        <v>7.0000000000000007E-2</v>
      </c>
      <c r="AI65" s="137">
        <f>SUM(Orç_analítico_Hab!M348:'Orç_analítico_Hab'!M355)/IF(Orç_analítico_Hab!M$430=0,1,Orç_analítico_Hab!M$430)</f>
        <v>0</v>
      </c>
      <c r="AJ65" s="138">
        <f t="shared" si="10"/>
        <v>0</v>
      </c>
      <c r="AK65" s="139">
        <f t="shared" si="13"/>
        <v>0</v>
      </c>
    </row>
    <row r="66" spans="2:37" s="19" customFormat="1" ht="11.1" customHeight="1" x14ac:dyDescent="0.25">
      <c r="B66" s="68" t="s">
        <v>155</v>
      </c>
      <c r="C66" s="56" t="s">
        <v>156</v>
      </c>
      <c r="D66" s="56"/>
      <c r="E66" s="56"/>
      <c r="F66" s="56"/>
      <c r="G66" s="56"/>
      <c r="H66" s="56"/>
      <c r="I66" s="56"/>
      <c r="J66" s="193"/>
      <c r="K66" s="194">
        <v>0.02</v>
      </c>
      <c r="L66" s="195">
        <f>ROUND(K66*FRE!$M$187,2)</f>
        <v>0</v>
      </c>
      <c r="M66" s="130"/>
      <c r="N66" s="20"/>
      <c r="O66" s="39">
        <f t="shared" si="11"/>
        <v>0.02</v>
      </c>
      <c r="P66" s="40" t="s">
        <v>195</v>
      </c>
      <c r="Q66" s="41">
        <f>IF(OR(FRE!$N$189="não",FRE!$N$189&lt;"0"),   IF($O$24=$T$20,U66,IF($O$24=$X$20,Y66,IF($O$24=$AB$20,AC66,AG66))),  IF($O$24=$T$20,V66,IF($O$24=$X$20,Z66,IF($O$24=$AB$20,AD66,AH66))))</f>
        <v>0.05</v>
      </c>
      <c r="R66" s="42" t="str">
        <f t="shared" si="12"/>
        <v>ok</v>
      </c>
      <c r="S66" s="44"/>
      <c r="T66" s="30">
        <v>0.02</v>
      </c>
      <c r="U66" s="30">
        <v>0.05</v>
      </c>
      <c r="V66" s="30">
        <v>0.06</v>
      </c>
      <c r="W66" s="29"/>
      <c r="X66" s="30">
        <v>0.02</v>
      </c>
      <c r="Y66" s="30">
        <v>0.05</v>
      </c>
      <c r="Z66" s="30">
        <v>0.06</v>
      </c>
      <c r="AA66" s="27"/>
      <c r="AB66" s="30">
        <v>0.02</v>
      </c>
      <c r="AC66" s="30">
        <v>0.05</v>
      </c>
      <c r="AD66" s="30">
        <v>0.06</v>
      </c>
      <c r="AE66" s="27"/>
      <c r="AF66" s="30">
        <v>0.02</v>
      </c>
      <c r="AG66" s="30">
        <v>0.05</v>
      </c>
      <c r="AH66" s="30">
        <v>0.06</v>
      </c>
      <c r="AI66" s="137">
        <f>SUM(Orç_analítico_Hab!M365:'Orç_analítico_Hab'!M377)/IF(Orç_analítico_Hab!M$430=0,1,Orç_analítico_Hab!M$430)</f>
        <v>0</v>
      </c>
      <c r="AJ66" s="138">
        <f t="shared" si="10"/>
        <v>0</v>
      </c>
      <c r="AK66" s="139">
        <f t="shared" si="13"/>
        <v>0</v>
      </c>
    </row>
    <row r="67" spans="2:37" s="19" customFormat="1" ht="11.1" customHeight="1" x14ac:dyDescent="0.25">
      <c r="B67" s="68" t="s">
        <v>157</v>
      </c>
      <c r="C67" s="56" t="s">
        <v>158</v>
      </c>
      <c r="D67" s="56"/>
      <c r="E67" s="56"/>
      <c r="F67" s="56"/>
      <c r="G67" s="56"/>
      <c r="H67" s="56"/>
      <c r="I67" s="56"/>
      <c r="J67" s="193"/>
      <c r="K67" s="194">
        <f>ROUND(AI67,4)</f>
        <v>0</v>
      </c>
      <c r="L67" s="195">
        <f>ROUND(K67*FRE!$M$187,2)</f>
        <v>0</v>
      </c>
      <c r="M67" s="130"/>
      <c r="N67" s="20"/>
      <c r="O67" s="39">
        <f t="shared" si="11"/>
        <v>0</v>
      </c>
      <c r="P67" s="40" t="s">
        <v>195</v>
      </c>
      <c r="Q67" s="41">
        <f>IF(OR(FRE!$N$189="não",FRE!$N$189&lt;"0"),   IF($O$24=$T$20,U67,IF($O$24=$X$20,Y67,IF($O$24=$AB$20,AC67,AG67))),  IF($O$24=$T$20,V67,IF($O$24=$X$20,Z67,IF($O$24=$AB$20,AD67,AH67))))</f>
        <v>0.01</v>
      </c>
      <c r="R67" s="42" t="str">
        <f t="shared" si="12"/>
        <v>ok</v>
      </c>
      <c r="S67" s="44"/>
      <c r="T67" s="30">
        <v>0</v>
      </c>
      <c r="U67" s="30">
        <v>0.01</v>
      </c>
      <c r="V67" s="30">
        <v>1.4999999999999999E-2</v>
      </c>
      <c r="W67" s="29"/>
      <c r="X67" s="30">
        <v>0</v>
      </c>
      <c r="Y67" s="30">
        <v>0.05</v>
      </c>
      <c r="Z67" s="30">
        <v>0.06</v>
      </c>
      <c r="AA67" s="27"/>
      <c r="AB67" s="30">
        <v>0.03</v>
      </c>
      <c r="AC67" s="30">
        <v>0.06</v>
      </c>
      <c r="AD67" s="30">
        <v>7.0000000000000007E-2</v>
      </c>
      <c r="AE67" s="27"/>
      <c r="AF67" s="30">
        <v>0</v>
      </c>
      <c r="AG67" s="30">
        <v>0.05</v>
      </c>
      <c r="AH67" s="30">
        <v>0.06</v>
      </c>
      <c r="AI67" s="137">
        <f>SUM(Orç_analítico_Hab!M358:'Orç_analítico_Hab'!M362)/IF(Orç_analítico_Hab!M$430=0,1,Orç_analítico_Hab!M$430)</f>
        <v>0</v>
      </c>
      <c r="AJ67" s="138">
        <f t="shared" si="10"/>
        <v>0</v>
      </c>
      <c r="AK67" s="139">
        <f t="shared" si="13"/>
        <v>0</v>
      </c>
    </row>
    <row r="68" spans="2:37" s="19" customFormat="1" ht="11.1" customHeight="1" x14ac:dyDescent="0.25">
      <c r="B68" s="68" t="s">
        <v>159</v>
      </c>
      <c r="C68" s="56" t="s">
        <v>160</v>
      </c>
      <c r="D68" s="56"/>
      <c r="E68" s="56"/>
      <c r="F68" s="56"/>
      <c r="G68" s="56"/>
      <c r="H68" s="56"/>
      <c r="I68" s="56"/>
      <c r="J68" s="56"/>
      <c r="K68" s="194">
        <f>ROUND(AI68,4)</f>
        <v>0</v>
      </c>
      <c r="L68" s="195">
        <f>ROUND(K68*FRE!$M$187,2)</f>
        <v>0</v>
      </c>
      <c r="M68" s="130"/>
      <c r="N68" s="20"/>
      <c r="O68" s="39">
        <f t="shared" si="11"/>
        <v>0</v>
      </c>
      <c r="P68" s="40" t="s">
        <v>195</v>
      </c>
      <c r="Q68" s="41">
        <f>IF(OR(FRE!$N$189="não",FRE!$N$189&lt;"0"),   IF($O$24=$T$20,U68,IF($O$24=$X$20,Y68,IF($O$24=$AB$20,AC68,AG68))),  IF($O$24=$T$20,V68,IF($O$24=$X$20,Z68,IF($O$24=$AB$20,AD68,AH68))))</f>
        <v>0.03</v>
      </c>
      <c r="R68" s="42" t="str">
        <f t="shared" si="12"/>
        <v>ok</v>
      </c>
      <c r="S68" s="44"/>
      <c r="T68" s="30">
        <v>0</v>
      </c>
      <c r="U68" s="30">
        <v>0.03</v>
      </c>
      <c r="V68" s="30">
        <v>3.5000000000000003E-2</v>
      </c>
      <c r="W68" s="29"/>
      <c r="X68" s="30">
        <v>0</v>
      </c>
      <c r="Y68" s="30">
        <v>0.04</v>
      </c>
      <c r="Z68" s="30">
        <v>4.4999999999999998E-2</v>
      </c>
      <c r="AA68" s="27"/>
      <c r="AB68" s="30">
        <v>5.0000000000000001E-3</v>
      </c>
      <c r="AC68" s="30">
        <v>0.05</v>
      </c>
      <c r="AD68" s="30">
        <v>0.06</v>
      </c>
      <c r="AE68" s="27"/>
      <c r="AF68" s="30">
        <v>0</v>
      </c>
      <c r="AG68" s="30">
        <v>0.04</v>
      </c>
      <c r="AH68" s="30">
        <v>4.4999999999999998E-2</v>
      </c>
      <c r="AI68" s="142">
        <f>SUM(Orç_analítico_Hab!M380:'Orç_analítico_Hab'!M386)/IF(Orç_analítico_Hab!M$430=0,1,Orç_analítico_Hab!M$430)</f>
        <v>0</v>
      </c>
      <c r="AJ68" s="138">
        <f t="shared" si="10"/>
        <v>0</v>
      </c>
      <c r="AK68" s="139">
        <f t="shared" si="13"/>
        <v>0</v>
      </c>
    </row>
    <row r="69" spans="2:37" s="19" customFormat="1" ht="11.1" customHeight="1" x14ac:dyDescent="0.25">
      <c r="B69" s="68" t="s">
        <v>161</v>
      </c>
      <c r="C69" s="56" t="s">
        <v>162</v>
      </c>
      <c r="D69" s="56"/>
      <c r="E69" s="56"/>
      <c r="F69" s="56"/>
      <c r="G69" s="56"/>
      <c r="H69" s="56"/>
      <c r="I69" s="56"/>
      <c r="J69" s="56"/>
      <c r="K69" s="194">
        <f>ROUND(AI69,4)</f>
        <v>0</v>
      </c>
      <c r="L69" s="195">
        <f>ROUND(K69*FRE!$M$187,2)</f>
        <v>0</v>
      </c>
      <c r="M69" s="130"/>
      <c r="N69" s="20"/>
      <c r="O69" s="39">
        <f t="shared" si="11"/>
        <v>0</v>
      </c>
      <c r="P69" s="40" t="s">
        <v>195</v>
      </c>
      <c r="Q69" s="41">
        <f>IF(OR(FRE!$N$189="não",FRE!$N$189&lt;"0"),   IF($O$24=$T$20,U69,IF($O$24=$X$20,Y69,IF($O$24=$AB$20,AC69,AG69))),  IF($O$24=$T$20,V69,IF($O$24=$X$20,Z69,IF($O$24=$AB$20,AD69,AH69))))</f>
        <v>0.01</v>
      </c>
      <c r="R69" s="42" t="str">
        <f t="shared" si="12"/>
        <v>ok</v>
      </c>
      <c r="S69" s="44"/>
      <c r="T69" s="30">
        <v>0</v>
      </c>
      <c r="U69" s="30">
        <v>0.01</v>
      </c>
      <c r="V69" s="30">
        <v>0.01</v>
      </c>
      <c r="W69" s="29"/>
      <c r="X69" s="30">
        <v>0</v>
      </c>
      <c r="Y69" s="30">
        <v>0.01</v>
      </c>
      <c r="Z69" s="30">
        <v>0.01</v>
      </c>
      <c r="AA69" s="27"/>
      <c r="AB69" s="30">
        <v>0</v>
      </c>
      <c r="AC69" s="30">
        <v>0.01</v>
      </c>
      <c r="AD69" s="30">
        <v>0.01</v>
      </c>
      <c r="AE69" s="27"/>
      <c r="AF69" s="30">
        <v>0</v>
      </c>
      <c r="AG69" s="30">
        <v>0.01</v>
      </c>
      <c r="AH69" s="30">
        <v>0.01</v>
      </c>
      <c r="AI69" s="142">
        <f>SUM(Orç_analítico_Hab!M389:'Orç_analítico_Hab'!M396)/IF(Orç_analítico_Hab!M$430=0,1,Orç_analítico_Hab!M$430)</f>
        <v>0</v>
      </c>
      <c r="AJ69" s="138">
        <f t="shared" si="10"/>
        <v>0</v>
      </c>
      <c r="AK69" s="139">
        <f t="shared" si="13"/>
        <v>0</v>
      </c>
    </row>
    <row r="70" spans="2:37" s="19" customFormat="1" ht="11.1" customHeight="1" x14ac:dyDescent="0.25">
      <c r="B70" s="68" t="s">
        <v>163</v>
      </c>
      <c r="C70" s="56" t="s">
        <v>164</v>
      </c>
      <c r="D70" s="56"/>
      <c r="E70" s="56"/>
      <c r="F70" s="56"/>
      <c r="G70" s="56"/>
      <c r="H70" s="56"/>
      <c r="I70" s="56"/>
      <c r="J70" s="56"/>
      <c r="K70" s="194">
        <f>ROUND(AI70,4)</f>
        <v>0</v>
      </c>
      <c r="L70" s="195">
        <f>ROUND(K70*FRE!$M$187,2)</f>
        <v>0</v>
      </c>
      <c r="M70" s="130"/>
      <c r="N70" s="20"/>
      <c r="O70" s="39">
        <f t="shared" si="11"/>
        <v>0</v>
      </c>
      <c r="P70" s="40" t="s">
        <v>195</v>
      </c>
      <c r="Q70" s="41">
        <f>IF(OR(FRE!$N$189="não",FRE!$N$189&lt;"0"),   IF($O$24=$T$20,U70,IF($O$24=$X$20,Y70,IF($O$24=$AB$20,AC70,AG70))),  IF($O$24=$T$20,V70,IF($O$24=$X$20,Z70,IF($O$24=$AB$20,AD70,AH70))))</f>
        <v>0.01</v>
      </c>
      <c r="R70" s="42" t="str">
        <f t="shared" si="12"/>
        <v>ok</v>
      </c>
      <c r="S70" s="44"/>
      <c r="T70" s="30">
        <v>0</v>
      </c>
      <c r="U70" s="30">
        <v>0.01</v>
      </c>
      <c r="V70" s="30">
        <v>0.01</v>
      </c>
      <c r="W70" s="29"/>
      <c r="X70" s="30">
        <v>0</v>
      </c>
      <c r="Y70" s="30">
        <v>0.01</v>
      </c>
      <c r="Z70" s="30">
        <v>0.01</v>
      </c>
      <c r="AA70" s="27"/>
      <c r="AB70" s="30">
        <v>0</v>
      </c>
      <c r="AC70" s="30">
        <v>0.01</v>
      </c>
      <c r="AD70" s="30">
        <v>0.01</v>
      </c>
      <c r="AE70" s="27"/>
      <c r="AF70" s="30">
        <v>0</v>
      </c>
      <c r="AG70" s="30">
        <v>0.01</v>
      </c>
      <c r="AH70" s="30">
        <v>0.01</v>
      </c>
      <c r="AI70" s="142">
        <f>SUM(Orç_analítico_Hab!M399:'Orç_analítico_Hab'!M406)/IF(Orç_analítico_Hab!M$430=0,1,Orç_analítico_Hab!M$430)</f>
        <v>0</v>
      </c>
      <c r="AJ70" s="138">
        <f t="shared" si="10"/>
        <v>0</v>
      </c>
      <c r="AK70" s="139">
        <f t="shared" si="13"/>
        <v>0</v>
      </c>
    </row>
    <row r="71" spans="2:37" s="19" customFormat="1" ht="11.1" customHeight="1" x14ac:dyDescent="0.25">
      <c r="B71" s="78">
        <v>9</v>
      </c>
      <c r="C71" s="57" t="s">
        <v>165</v>
      </c>
      <c r="D71" s="57"/>
      <c r="E71" s="57"/>
      <c r="F71" s="57"/>
      <c r="G71" s="57"/>
      <c r="H71" s="57"/>
      <c r="I71" s="57"/>
      <c r="J71" s="57"/>
      <c r="K71" s="191">
        <f>SUM(K72:K74)</f>
        <v>1.4999999999999999E-2</v>
      </c>
      <c r="L71" s="192">
        <f>SUM(L72:L74)</f>
        <v>0</v>
      </c>
      <c r="M71" s="129">
        <f xml:space="preserve"> IF(SUM($L$25,$L$36,$L$39,$L$40,$L$45,$L$48,$L$55,$L$62,$L$71,$L$75)=0,0,M62+L71/SUM($L$25,$L$36,$L$39,$L$40,$L$45,$L$48,$L$55,$L$62,$L$71,$L$75))</f>
        <v>0</v>
      </c>
      <c r="N71" s="50"/>
      <c r="O71" s="35"/>
      <c r="P71" s="36"/>
      <c r="Q71" s="43"/>
      <c r="R71" s="38"/>
      <c r="S71" s="29"/>
      <c r="T71" s="28"/>
      <c r="U71" s="28"/>
      <c r="V71" s="28"/>
      <c r="W71" s="29"/>
      <c r="X71" s="28"/>
      <c r="Y71" s="28"/>
      <c r="Z71" s="28"/>
      <c r="AA71" s="27"/>
      <c r="AB71" s="28"/>
      <c r="AC71" s="28"/>
      <c r="AD71" s="28"/>
      <c r="AE71" s="27"/>
      <c r="AF71" s="28"/>
      <c r="AG71" s="28"/>
      <c r="AH71" s="28"/>
      <c r="AJ71" s="138"/>
      <c r="AK71" s="140">
        <f>SUM(AK72:AK74)</f>
        <v>0</v>
      </c>
    </row>
    <row r="72" spans="2:37" s="19" customFormat="1" ht="11.1" customHeight="1" x14ac:dyDescent="0.25">
      <c r="B72" s="68" t="s">
        <v>166</v>
      </c>
      <c r="C72" s="56" t="s">
        <v>167</v>
      </c>
      <c r="D72" s="56"/>
      <c r="E72" s="56"/>
      <c r="F72" s="56"/>
      <c r="G72" s="56"/>
      <c r="H72" s="56"/>
      <c r="I72" s="197"/>
      <c r="J72" s="193"/>
      <c r="K72" s="194">
        <v>5.0000000000000001E-3</v>
      </c>
      <c r="L72" s="195">
        <f>ROUND(K72*FRE!$M$187,2)</f>
        <v>0</v>
      </c>
      <c r="M72" s="130"/>
      <c r="N72" s="20"/>
      <c r="O72" s="39">
        <f>IF($O$24=$T$20,T72,IF($O$24=$X$20,X72,IF($O$24=$AB$20,AB72,AF72)))</f>
        <v>5.0000000000000001E-3</v>
      </c>
      <c r="P72" s="40" t="s">
        <v>195</v>
      </c>
      <c r="Q72" s="41">
        <f>IF(OR(FRE!$N$189="não",FRE!$N$189&lt;"0"),   IF($O$24=$T$20,U72,IF($O$24=$X$20,Y72,IF($O$24=$AB$20,AC72,AG72))),  IF($O$24=$T$20,V72,IF($O$24=$X$20,Z72,IF($O$24=$AB$20,AD72,AH72))))</f>
        <v>0.02</v>
      </c>
      <c r="R72" s="42" t="str">
        <f>IF(K72&gt;Q72,"Excedeu limites",IF(K72&lt;O72,"Abaixo do limite","ok"))</f>
        <v>ok</v>
      </c>
      <c r="S72" s="29"/>
      <c r="T72" s="30">
        <v>5.0000000000000001E-3</v>
      </c>
      <c r="U72" s="30">
        <v>0.02</v>
      </c>
      <c r="V72" s="30">
        <v>2.5000000000000001E-2</v>
      </c>
      <c r="W72" s="29"/>
      <c r="X72" s="30">
        <v>5.0000000000000001E-3</v>
      </c>
      <c r="Y72" s="30">
        <v>0.02</v>
      </c>
      <c r="Z72" s="30">
        <v>2.5000000000000001E-2</v>
      </c>
      <c r="AA72" s="27"/>
      <c r="AB72" s="30">
        <v>0.01</v>
      </c>
      <c r="AC72" s="30">
        <v>0.02</v>
      </c>
      <c r="AD72" s="30">
        <v>2.5000000000000001E-2</v>
      </c>
      <c r="AE72" s="27"/>
      <c r="AF72" s="30">
        <v>5.0000000000000001E-3</v>
      </c>
      <c r="AG72" s="30">
        <v>0.02</v>
      </c>
      <c r="AH72" s="30">
        <v>2.5000000000000001E-2</v>
      </c>
      <c r="AI72" s="137">
        <f>Orç_analítico_Hab!M410/IF(Orç_analítico_Hab!M$430=0,1,Orç_analítico_Hab!M$430)</f>
        <v>0</v>
      </c>
      <c r="AJ72" s="138">
        <f>AI72-ROUND(AI72,4)+AJ70</f>
        <v>0</v>
      </c>
      <c r="AK72" s="139">
        <f>ROUND(K72*(FRE!$O$187),2)</f>
        <v>0</v>
      </c>
    </row>
    <row r="73" spans="2:37" s="19" customFormat="1" ht="11.1" customHeight="1" x14ac:dyDescent="0.25">
      <c r="B73" s="68" t="s">
        <v>168</v>
      </c>
      <c r="C73" s="56" t="s">
        <v>169</v>
      </c>
      <c r="D73" s="56"/>
      <c r="E73" s="56"/>
      <c r="F73" s="56"/>
      <c r="G73" s="56"/>
      <c r="H73" s="56"/>
      <c r="I73" s="56"/>
      <c r="J73" s="193"/>
      <c r="K73" s="194">
        <v>0.01</v>
      </c>
      <c r="L73" s="195">
        <f>ROUND(K73*FRE!$M$187,2)</f>
        <v>0</v>
      </c>
      <c r="M73" s="130"/>
      <c r="N73" s="20"/>
      <c r="O73" s="39">
        <f>IF($O$24=$T$20,T73,IF($O$24=$X$20,X73,IF($O$24=$AB$20,AB73,AF73)))</f>
        <v>0.01</v>
      </c>
      <c r="P73" s="40" t="s">
        <v>195</v>
      </c>
      <c r="Q73" s="41">
        <f>IF(OR(FRE!$N$189="não",FRE!$N$189&lt;"0"),   IF($O$24=$T$20,U73,IF($O$24=$X$20,Y73,IF($O$24=$AB$20,AC73,AG73))),  IF($O$24=$T$20,V73,IF($O$24=$X$20,Z73,IF($O$24=$AB$20,AD73,AH73))))</f>
        <v>0.03</v>
      </c>
      <c r="R73" s="42" t="str">
        <f>IF(K73&gt;Q73,"Excedeu limites",IF(K73&lt;O73,"Abaixo do limite","ok"))</f>
        <v>ok</v>
      </c>
      <c r="S73" s="29"/>
      <c r="T73" s="30">
        <v>0.01</v>
      </c>
      <c r="U73" s="30">
        <v>0.03</v>
      </c>
      <c r="V73" s="30">
        <v>3.5000000000000003E-2</v>
      </c>
      <c r="W73" s="29"/>
      <c r="X73" s="30">
        <v>0.02</v>
      </c>
      <c r="Y73" s="30">
        <v>0.03</v>
      </c>
      <c r="Z73" s="30">
        <v>3.5000000000000003E-2</v>
      </c>
      <c r="AA73" s="27"/>
      <c r="AB73" s="30">
        <v>1.4999999999999999E-2</v>
      </c>
      <c r="AC73" s="30">
        <v>0.03</v>
      </c>
      <c r="AD73" s="30">
        <v>3.5000000000000003E-2</v>
      </c>
      <c r="AE73" s="27"/>
      <c r="AF73" s="30">
        <v>0.02</v>
      </c>
      <c r="AG73" s="30">
        <v>0.03</v>
      </c>
      <c r="AH73" s="30">
        <v>3.5000000000000003E-2</v>
      </c>
      <c r="AI73" s="137">
        <f>Orç_analítico_Hab!M411/IF(Orç_analítico_Hab!M$430=0,1,Orç_analítico_Hab!M$430)</f>
        <v>0</v>
      </c>
      <c r="AJ73" s="138">
        <f t="shared" si="10"/>
        <v>0</v>
      </c>
      <c r="AK73" s="139">
        <f t="shared" si="13"/>
        <v>0</v>
      </c>
    </row>
    <row r="74" spans="2:37" s="19" customFormat="1" ht="11.1" customHeight="1" x14ac:dyDescent="0.25">
      <c r="B74" s="68" t="s">
        <v>170</v>
      </c>
      <c r="C74" s="56" t="s">
        <v>171</v>
      </c>
      <c r="D74" s="56"/>
      <c r="E74" s="56"/>
      <c r="F74" s="56"/>
      <c r="G74" s="56"/>
      <c r="H74" s="56"/>
      <c r="I74" s="56"/>
      <c r="J74" s="193"/>
      <c r="K74" s="194">
        <f>ROUND(AI74,4)</f>
        <v>0</v>
      </c>
      <c r="L74" s="195">
        <f>ROUND(K74*FRE!$M$187,2)</f>
        <v>0</v>
      </c>
      <c r="M74" s="130"/>
      <c r="N74" s="20"/>
      <c r="O74" s="39">
        <f>IF($O$24=$T$20,T74,IF($O$24=$X$20,X74,IF($O$24=$AB$20,AB74,AF74)))</f>
        <v>0</v>
      </c>
      <c r="P74" s="40" t="s">
        <v>195</v>
      </c>
      <c r="Q74" s="41">
        <f>IF(OR(FRE!$N$189="não",FRE!$N$189&lt;"0"),   IF($O$24=$T$20,U74,IF($O$24=$X$20,Y74,IF($O$24=$AB$20,AC74,AG74))),  IF($O$24=$T$20,V74,IF($O$24=$X$20,Z74,IF($O$24=$AB$20,AD74,AH74))))</f>
        <v>0.01</v>
      </c>
      <c r="R74" s="42" t="str">
        <f>IF(K74&gt;Q74,"Excedeu limites",IF(K74&lt;O74,"Abaixo do limite","ok"))</f>
        <v>ok</v>
      </c>
      <c r="S74" s="29"/>
      <c r="T74" s="30">
        <v>0</v>
      </c>
      <c r="U74" s="30">
        <v>0.01</v>
      </c>
      <c r="V74" s="30">
        <v>0.01</v>
      </c>
      <c r="W74" s="29"/>
      <c r="X74" s="30">
        <v>0</v>
      </c>
      <c r="Y74" s="30">
        <v>0.01</v>
      </c>
      <c r="Z74" s="30">
        <v>0.01</v>
      </c>
      <c r="AA74" s="27"/>
      <c r="AB74" s="30">
        <v>0</v>
      </c>
      <c r="AC74" s="30">
        <v>0.01</v>
      </c>
      <c r="AD74" s="30">
        <v>0.01</v>
      </c>
      <c r="AE74" s="27"/>
      <c r="AF74" s="30">
        <v>0</v>
      </c>
      <c r="AG74" s="30">
        <v>0.01</v>
      </c>
      <c r="AH74" s="30">
        <v>0.01</v>
      </c>
      <c r="AI74" s="137">
        <f>SUM(Orç_analítico_Hab!M412:'Orç_analítico_Hab'!M414)/IF(Orç_analítico_Hab!M$430=0,1,Orç_analítico_Hab!M$430)</f>
        <v>0</v>
      </c>
      <c r="AJ74" s="138">
        <f t="shared" si="10"/>
        <v>0</v>
      </c>
      <c r="AK74" s="139">
        <f t="shared" si="13"/>
        <v>0</v>
      </c>
    </row>
    <row r="75" spans="2:37" s="19" customFormat="1" ht="11.1" customHeight="1" x14ac:dyDescent="0.25">
      <c r="B75" s="78">
        <v>10</v>
      </c>
      <c r="C75" s="57" t="s">
        <v>796</v>
      </c>
      <c r="D75" s="57"/>
      <c r="E75" s="57"/>
      <c r="F75" s="57"/>
      <c r="G75" s="57"/>
      <c r="H75" s="57"/>
      <c r="I75" s="57"/>
      <c r="J75" s="193"/>
      <c r="K75" s="191">
        <f>SUM(K76:K85)</f>
        <v>0.15</v>
      </c>
      <c r="L75" s="192">
        <f>SUM(L76:L85)</f>
        <v>0</v>
      </c>
      <c r="M75" s="129">
        <f xml:space="preserve"> IF(SUM($L$25,$L$36,$L$39,$L$40,$L$45,$L$48,$L$55,$L$62,$L$71,$L$75)=0,0,M71+L75/SUM($L$25,$L$36,$L$39,$L$40,$L$45,$L$48,$L$55,$L$62,$L$71,$L$75))</f>
        <v>0</v>
      </c>
      <c r="N75" s="50"/>
      <c r="O75" s="35"/>
      <c r="P75" s="36"/>
      <c r="Q75" s="43"/>
      <c r="R75" s="38"/>
      <c r="T75" s="28"/>
      <c r="U75" s="28"/>
      <c r="V75" s="28"/>
      <c r="W75" s="29"/>
      <c r="X75" s="28"/>
      <c r="Y75" s="28"/>
      <c r="Z75" s="28"/>
      <c r="AA75" s="27"/>
      <c r="AB75" s="28"/>
      <c r="AC75" s="28"/>
      <c r="AD75" s="28"/>
      <c r="AE75" s="27"/>
      <c r="AF75" s="28"/>
      <c r="AG75" s="28"/>
      <c r="AH75" s="28"/>
      <c r="AK75" s="140">
        <f>SUM(AK76:AK85)</f>
        <v>0</v>
      </c>
    </row>
    <row r="76" spans="2:37" s="19" customFormat="1" ht="11.1" customHeight="1" x14ac:dyDescent="0.25">
      <c r="B76" s="68" t="s">
        <v>175</v>
      </c>
      <c r="C76" s="56" t="s">
        <v>176</v>
      </c>
      <c r="D76" s="56"/>
      <c r="E76" s="56"/>
      <c r="F76" s="56"/>
      <c r="G76" s="56"/>
      <c r="H76" s="56"/>
      <c r="I76" s="56"/>
      <c r="J76" s="56"/>
      <c r="K76" s="194">
        <v>0.03</v>
      </c>
      <c r="L76" s="195">
        <f>ROUND(K76*FRE!$M$187,2)</f>
        <v>0</v>
      </c>
      <c r="M76" s="130"/>
      <c r="N76" s="20"/>
      <c r="O76" s="39">
        <f t="shared" ref="O76:O85" si="14">IF($O$24=$T$20,T76,IF($O$24=$X$20,X76,IF($O$24=$AB$20,AB76,AF76)))</f>
        <v>0</v>
      </c>
      <c r="P76" s="40" t="s">
        <v>195</v>
      </c>
      <c r="Q76" s="41">
        <f>IF(OR(FRE!$N$189="não",FRE!$N$189&lt;"0"),   IF($O$24=$T$20,U76,IF($O$24=$X$20,Y76,IF($O$24=$AB$20,AC76,AG76))),  IF($O$24=$T$20,V76,IF($O$24=$X$20,Z76,IF($O$24=$AB$20,AD76,AH76))))</f>
        <v>0.03</v>
      </c>
      <c r="R76" s="42" t="str">
        <f t="shared" ref="R76:R85" si="15">IF(K76&gt;Q76,"Excedeu limites",IF(K76&lt;O76,"Abaixo do limite","ok"))</f>
        <v>ok</v>
      </c>
      <c r="T76" s="30">
        <v>0</v>
      </c>
      <c r="U76" s="30">
        <v>0.03</v>
      </c>
      <c r="V76" s="30"/>
      <c r="W76" s="29"/>
      <c r="X76" s="30">
        <v>0</v>
      </c>
      <c r="Y76" s="30">
        <v>0.03</v>
      </c>
      <c r="Z76" s="30"/>
      <c r="AA76" s="27"/>
      <c r="AB76" s="30">
        <v>0</v>
      </c>
      <c r="AC76" s="30">
        <v>0.03</v>
      </c>
      <c r="AD76" s="30"/>
      <c r="AE76" s="27"/>
      <c r="AF76" s="30">
        <v>0</v>
      </c>
      <c r="AG76" s="30">
        <v>0.03</v>
      </c>
      <c r="AH76" s="30"/>
      <c r="AI76" s="137">
        <f>Orç_analítico_Hab!M418/IF(Orç_analítico_Hab!M$430=0,1,Orç_analítico_Hab!M$430)</f>
        <v>0</v>
      </c>
      <c r="AJ76" s="138">
        <f>AI76-ROUND(AI76,4)+AJ74</f>
        <v>0</v>
      </c>
      <c r="AK76" s="139">
        <f t="shared" ref="AK76:AK85" si="16">ROUND(L76,2)</f>
        <v>0</v>
      </c>
    </row>
    <row r="77" spans="2:37" s="19" customFormat="1" ht="11.1" customHeight="1" x14ac:dyDescent="0.25">
      <c r="B77" s="68" t="s">
        <v>177</v>
      </c>
      <c r="C77" s="56" t="s">
        <v>178</v>
      </c>
      <c r="D77" s="56"/>
      <c r="E77" s="56"/>
      <c r="F77" s="56"/>
      <c r="G77" s="56"/>
      <c r="H77" s="56"/>
      <c r="I77" s="56"/>
      <c r="J77" s="56"/>
      <c r="K77" s="194">
        <v>1.4999999999999999E-2</v>
      </c>
      <c r="L77" s="195">
        <f>ROUND(K77*FRE!$M$187,2)</f>
        <v>0</v>
      </c>
      <c r="M77" s="130"/>
      <c r="N77" s="20"/>
      <c r="O77" s="39">
        <f t="shared" si="14"/>
        <v>0</v>
      </c>
      <c r="P77" s="40" t="s">
        <v>195</v>
      </c>
      <c r="Q77" s="41">
        <f>IF(OR(FRE!$N$189="não",FRE!$N$189&lt;"0"),   IF($O$24=$T$20,U77,IF($O$24=$X$20,Y77,IF($O$24=$AB$20,AC77,AG77))),  IF($O$24=$T$20,V77,IF($O$24=$X$20,Z77,IF($O$24=$AB$20,AD77,AH77))))</f>
        <v>1.4999999999999999E-2</v>
      </c>
      <c r="R77" s="42" t="str">
        <f t="shared" si="15"/>
        <v>ok</v>
      </c>
      <c r="T77" s="30">
        <v>0</v>
      </c>
      <c r="U77" s="30">
        <v>1.4999999999999999E-2</v>
      </c>
      <c r="V77" s="30"/>
      <c r="W77" s="29"/>
      <c r="X77" s="30">
        <v>0</v>
      </c>
      <c r="Y77" s="30">
        <v>1.4999999999999999E-2</v>
      </c>
      <c r="Z77" s="30"/>
      <c r="AA77" s="27"/>
      <c r="AB77" s="30">
        <v>0</v>
      </c>
      <c r="AC77" s="30">
        <v>1.4999999999999999E-2</v>
      </c>
      <c r="AD77" s="30"/>
      <c r="AE77" s="27"/>
      <c r="AF77" s="30">
        <v>0</v>
      </c>
      <c r="AG77" s="30">
        <v>1.4999999999999999E-2</v>
      </c>
      <c r="AH77" s="30"/>
      <c r="AI77" s="137">
        <f>Orç_analítico_Hab!M419/IF(Orç_analítico_Hab!M$430=0,1,Orç_analítico_Hab!M$430)</f>
        <v>0</v>
      </c>
      <c r="AJ77" s="138">
        <f t="shared" ref="AJ77:AJ85" si="17">AI77-ROUND(AI77,4)+AJ76</f>
        <v>0</v>
      </c>
      <c r="AK77" s="139">
        <f t="shared" si="16"/>
        <v>0</v>
      </c>
    </row>
    <row r="78" spans="2:37" s="19" customFormat="1" ht="11.1" customHeight="1" x14ac:dyDescent="0.25">
      <c r="B78" s="68" t="s">
        <v>179</v>
      </c>
      <c r="C78" s="56" t="s">
        <v>180</v>
      </c>
      <c r="D78" s="56"/>
      <c r="E78" s="56"/>
      <c r="F78" s="56"/>
      <c r="G78" s="56"/>
      <c r="H78" s="56"/>
      <c r="I78" s="56"/>
      <c r="J78" s="56"/>
      <c r="K78" s="194">
        <v>0.02</v>
      </c>
      <c r="L78" s="195">
        <f>ROUND(K78*FRE!$M$187,2)</f>
        <v>0</v>
      </c>
      <c r="M78" s="130"/>
      <c r="N78" s="20"/>
      <c r="O78" s="39">
        <f t="shared" si="14"/>
        <v>0</v>
      </c>
      <c r="P78" s="40" t="s">
        <v>195</v>
      </c>
      <c r="Q78" s="41">
        <f>IF(OR(FRE!$N$189="não",FRE!$N$189&lt;"0"),   IF($O$24=$T$20,U78,IF($O$24=$X$20,Y78,IF($O$24=$AB$20,AC78,AG78))),  IF($O$24=$T$20,V78,IF($O$24=$X$20,Z78,IF($O$24=$AB$20,AD78,AH78))))</f>
        <v>0.02</v>
      </c>
      <c r="R78" s="42" t="str">
        <f t="shared" si="15"/>
        <v>ok</v>
      </c>
      <c r="T78" s="30">
        <v>0</v>
      </c>
      <c r="U78" s="30">
        <v>0.02</v>
      </c>
      <c r="V78" s="30"/>
      <c r="W78" s="29"/>
      <c r="X78" s="30">
        <v>0</v>
      </c>
      <c r="Y78" s="30">
        <v>0.02</v>
      </c>
      <c r="Z78" s="30"/>
      <c r="AA78" s="27"/>
      <c r="AB78" s="30">
        <v>0</v>
      </c>
      <c r="AC78" s="30">
        <v>0.02</v>
      </c>
      <c r="AD78" s="30"/>
      <c r="AE78" s="27"/>
      <c r="AF78" s="30">
        <v>0</v>
      </c>
      <c r="AG78" s="30">
        <v>0.02</v>
      </c>
      <c r="AH78" s="30"/>
      <c r="AI78" s="137">
        <f>Orç_analítico_Hab!M420/IF(Orç_analítico_Hab!M$430=0,1,Orç_analítico_Hab!M$430)</f>
        <v>0</v>
      </c>
      <c r="AJ78" s="138">
        <f t="shared" si="17"/>
        <v>0</v>
      </c>
      <c r="AK78" s="139">
        <f t="shared" si="16"/>
        <v>0</v>
      </c>
    </row>
    <row r="79" spans="2:37" s="19" customFormat="1" ht="11.1" customHeight="1" x14ac:dyDescent="0.25">
      <c r="B79" s="68" t="s">
        <v>181</v>
      </c>
      <c r="C79" s="56" t="s">
        <v>691</v>
      </c>
      <c r="D79" s="56"/>
      <c r="E79" s="56"/>
      <c r="F79" s="56"/>
      <c r="G79" s="56"/>
      <c r="H79" s="56"/>
      <c r="I79" s="56"/>
      <c r="J79" s="56"/>
      <c r="K79" s="194">
        <v>1.4999999999999999E-2</v>
      </c>
      <c r="L79" s="195">
        <f>ROUND(K79*FRE!$M$187,2)</f>
        <v>0</v>
      </c>
      <c r="M79" s="130"/>
      <c r="N79" s="20"/>
      <c r="O79" s="39">
        <f t="shared" si="14"/>
        <v>0</v>
      </c>
      <c r="P79" s="40" t="s">
        <v>195</v>
      </c>
      <c r="Q79" s="41">
        <f>IF(OR(FRE!$N$189="não",FRE!$N$189&lt;"0"),   IF($O$24=$T$20,U79,IF($O$24=$X$20,Y79,IF($O$24=$AB$20,AC79,AG79))),  IF($O$24=$T$20,V79,IF($O$24=$X$20,Z79,IF($O$24=$AB$20,AD79,AH79))))</f>
        <v>1.4999999999999999E-2</v>
      </c>
      <c r="R79" s="42" t="str">
        <f t="shared" si="15"/>
        <v>ok</v>
      </c>
      <c r="T79" s="30">
        <v>0</v>
      </c>
      <c r="U79" s="30">
        <v>1.4999999999999999E-2</v>
      </c>
      <c r="V79" s="30"/>
      <c r="W79" s="29"/>
      <c r="X79" s="30">
        <v>0</v>
      </c>
      <c r="Y79" s="30">
        <v>1.4999999999999999E-2</v>
      </c>
      <c r="Z79" s="30"/>
      <c r="AA79" s="27"/>
      <c r="AB79" s="30">
        <v>0</v>
      </c>
      <c r="AC79" s="30">
        <v>1.4999999999999999E-2</v>
      </c>
      <c r="AD79" s="30"/>
      <c r="AE79" s="27"/>
      <c r="AF79" s="30">
        <v>0</v>
      </c>
      <c r="AG79" s="30">
        <v>1.4999999999999999E-2</v>
      </c>
      <c r="AH79" s="30"/>
      <c r="AI79" s="137">
        <f>Orç_analítico_Hab!M421/IF(Orç_analítico_Hab!M$430=0,1,Orç_analítico_Hab!M$430)</f>
        <v>0</v>
      </c>
      <c r="AJ79" s="138">
        <f t="shared" si="17"/>
        <v>0</v>
      </c>
      <c r="AK79" s="139">
        <f t="shared" si="16"/>
        <v>0</v>
      </c>
    </row>
    <row r="80" spans="2:37" s="19" customFormat="1" ht="11.1" customHeight="1" x14ac:dyDescent="0.25">
      <c r="B80" s="68" t="s">
        <v>182</v>
      </c>
      <c r="C80" s="56" t="s">
        <v>692</v>
      </c>
      <c r="D80" s="56"/>
      <c r="E80" s="56"/>
      <c r="F80" s="56"/>
      <c r="G80" s="56"/>
      <c r="H80" s="56"/>
      <c r="I80" s="56"/>
      <c r="J80" s="56"/>
      <c r="K80" s="194">
        <v>1.4999999999999999E-2</v>
      </c>
      <c r="L80" s="195">
        <f>ROUND(K80*FRE!$M$187,2)</f>
        <v>0</v>
      </c>
      <c r="M80" s="130"/>
      <c r="N80" s="20"/>
      <c r="O80" s="39">
        <f t="shared" si="14"/>
        <v>0.01</v>
      </c>
      <c r="P80" s="40" t="s">
        <v>195</v>
      </c>
      <c r="Q80" s="41">
        <f>IF(OR(FRE!$N$189="não",FRE!$N$189&lt;"0"),   IF($O$24=$T$20,U80,IF($O$24=$X$20,Y80,IF($O$24=$AB$20,AC80,AG80))),  IF($O$24=$T$20,V80,IF($O$24=$X$20,Z80,IF($O$24=$AB$20,AD80,AH80))))</f>
        <v>1.4999999999999999E-2</v>
      </c>
      <c r="R80" s="42" t="str">
        <f t="shared" si="15"/>
        <v>ok</v>
      </c>
      <c r="T80" s="30">
        <v>0.01</v>
      </c>
      <c r="U80" s="30">
        <v>1.4999999999999999E-2</v>
      </c>
      <c r="V80" s="30"/>
      <c r="W80" s="29"/>
      <c r="X80" s="30">
        <v>0.01</v>
      </c>
      <c r="Y80" s="30">
        <v>1.4999999999999999E-2</v>
      </c>
      <c r="Z80" s="30"/>
      <c r="AA80" s="27"/>
      <c r="AB80" s="30">
        <v>0.01</v>
      </c>
      <c r="AC80" s="30">
        <v>1.4999999999999999E-2</v>
      </c>
      <c r="AD80" s="30"/>
      <c r="AE80" s="27"/>
      <c r="AF80" s="30">
        <v>0.01</v>
      </c>
      <c r="AG80" s="30">
        <v>1.4999999999999999E-2</v>
      </c>
      <c r="AH80" s="30"/>
      <c r="AI80" s="137">
        <f>Orç_analítico_Hab!M422/IF(Orç_analítico_Hab!M$430=0,1,Orç_analítico_Hab!M$430)</f>
        <v>0</v>
      </c>
      <c r="AJ80" s="138">
        <f t="shared" si="17"/>
        <v>0</v>
      </c>
      <c r="AK80" s="139">
        <f t="shared" si="16"/>
        <v>0</v>
      </c>
    </row>
    <row r="81" spans="2:37" s="19" customFormat="1" ht="11.1" customHeight="1" x14ac:dyDescent="0.25">
      <c r="B81" s="68" t="s">
        <v>183</v>
      </c>
      <c r="C81" s="56" t="s">
        <v>693</v>
      </c>
      <c r="D81" s="56"/>
      <c r="E81" s="56"/>
      <c r="F81" s="56"/>
      <c r="G81" s="56"/>
      <c r="H81" s="56"/>
      <c r="I81" s="56"/>
      <c r="J81" s="56"/>
      <c r="K81" s="194">
        <v>1.4999999999999999E-2</v>
      </c>
      <c r="L81" s="195">
        <f>ROUND(K81*FRE!$M$187,2)</f>
        <v>0</v>
      </c>
      <c r="M81" s="130"/>
      <c r="N81" s="20"/>
      <c r="O81" s="39">
        <f t="shared" si="14"/>
        <v>2E-3</v>
      </c>
      <c r="P81" s="40" t="s">
        <v>195</v>
      </c>
      <c r="Q81" s="41">
        <f>IF(OR(FRE!$N$189="não",FRE!$N$189&lt;"0"),   IF($O$24=$T$20,U81,IF($O$24=$X$20,Y81,IF($O$24=$AB$20,AC81,AG81))),  IF($O$24=$T$20,V81,IF($O$24=$X$20,Z81,IF($O$24=$AB$20,AD81,AH81))))</f>
        <v>1.4999999999999999E-2</v>
      </c>
      <c r="R81" s="42" t="str">
        <f t="shared" si="15"/>
        <v>ok</v>
      </c>
      <c r="T81" s="30">
        <v>2E-3</v>
      </c>
      <c r="U81" s="30">
        <v>1.4999999999999999E-2</v>
      </c>
      <c r="V81" s="30"/>
      <c r="W81" s="29"/>
      <c r="X81" s="30">
        <v>2E-3</v>
      </c>
      <c r="Y81" s="30">
        <v>1.4999999999999999E-2</v>
      </c>
      <c r="Z81" s="30"/>
      <c r="AA81" s="27"/>
      <c r="AB81" s="30">
        <v>2E-3</v>
      </c>
      <c r="AC81" s="30">
        <v>1.4999999999999999E-2</v>
      </c>
      <c r="AD81" s="30"/>
      <c r="AE81" s="27"/>
      <c r="AF81" s="30">
        <v>2E-3</v>
      </c>
      <c r="AG81" s="30">
        <v>1.4999999999999999E-2</v>
      </c>
      <c r="AH81" s="30"/>
      <c r="AI81" s="137">
        <f>Orç_analítico_Hab!M423/IF(Orç_analítico_Hab!M$430=0,1,Orç_analítico_Hab!M$430)</f>
        <v>0</v>
      </c>
      <c r="AJ81" s="138">
        <f t="shared" si="17"/>
        <v>0</v>
      </c>
      <c r="AK81" s="139">
        <f t="shared" si="16"/>
        <v>0</v>
      </c>
    </row>
    <row r="82" spans="2:37" s="19" customFormat="1" ht="11.1" customHeight="1" x14ac:dyDescent="0.25">
      <c r="B82" s="68" t="s">
        <v>184</v>
      </c>
      <c r="C82" s="56" t="s">
        <v>185</v>
      </c>
      <c r="D82" s="56"/>
      <c r="E82" s="56"/>
      <c r="F82" s="56"/>
      <c r="G82" s="56"/>
      <c r="H82" s="56"/>
      <c r="I82" s="56"/>
      <c r="J82" s="56"/>
      <c r="K82" s="194">
        <v>0.01</v>
      </c>
      <c r="L82" s="195">
        <f>ROUND(K82*FRE!$M$187,2)</f>
        <v>0</v>
      </c>
      <c r="M82" s="130"/>
      <c r="N82" s="20"/>
      <c r="O82" s="39">
        <f t="shared" si="14"/>
        <v>0</v>
      </c>
      <c r="P82" s="40" t="s">
        <v>195</v>
      </c>
      <c r="Q82" s="41">
        <f>IF(OR(FRE!$N$189="não",FRE!$N$189&lt;"0"),   IF($O$24=$T$20,U82,IF($O$24=$X$20,Y82,IF($O$24=$AB$20,AC82,AG82))),  IF($O$24=$T$20,V82,IF($O$24=$X$20,Z82,IF($O$24=$AB$20,AD82,AH82))))</f>
        <v>0.01</v>
      </c>
      <c r="R82" s="42" t="str">
        <f t="shared" si="15"/>
        <v>ok</v>
      </c>
      <c r="T82" s="30">
        <v>0</v>
      </c>
      <c r="U82" s="30">
        <v>0.01</v>
      </c>
      <c r="V82" s="30"/>
      <c r="W82" s="29"/>
      <c r="X82" s="30">
        <v>0</v>
      </c>
      <c r="Y82" s="30">
        <v>0.01</v>
      </c>
      <c r="Z82" s="30"/>
      <c r="AA82" s="27"/>
      <c r="AB82" s="30">
        <v>0</v>
      </c>
      <c r="AC82" s="30">
        <v>0.01</v>
      </c>
      <c r="AD82" s="30"/>
      <c r="AE82" s="27"/>
      <c r="AF82" s="30">
        <v>0</v>
      </c>
      <c r="AG82" s="30">
        <v>0.01</v>
      </c>
      <c r="AH82" s="30"/>
      <c r="AI82" s="137">
        <f>Orç_analítico_Hab!M424/IF(Orç_analítico_Hab!M$430=0,1,Orç_analítico_Hab!M$430)</f>
        <v>0</v>
      </c>
      <c r="AJ82" s="138">
        <f t="shared" si="17"/>
        <v>0</v>
      </c>
      <c r="AK82" s="139">
        <f t="shared" si="16"/>
        <v>0</v>
      </c>
    </row>
    <row r="83" spans="2:37" s="19" customFormat="1" ht="11.1" customHeight="1" x14ac:dyDescent="0.25">
      <c r="B83" s="68" t="s">
        <v>186</v>
      </c>
      <c r="C83" s="56" t="s">
        <v>187</v>
      </c>
      <c r="D83" s="56"/>
      <c r="E83" s="56"/>
      <c r="F83" s="56"/>
      <c r="G83" s="56"/>
      <c r="H83" s="56"/>
      <c r="I83" s="56"/>
      <c r="J83" s="56"/>
      <c r="K83" s="194">
        <v>2E-3</v>
      </c>
      <c r="L83" s="195">
        <f>ROUND(K83*FRE!$M$187,2)</f>
        <v>0</v>
      </c>
      <c r="M83" s="130"/>
      <c r="N83" s="20"/>
      <c r="O83" s="39">
        <f t="shared" si="14"/>
        <v>0</v>
      </c>
      <c r="P83" s="40" t="s">
        <v>195</v>
      </c>
      <c r="Q83" s="41">
        <f>IF(OR(FRE!$N$189="não",FRE!$N$189&lt;"0"),   IF($O$24=$T$20,U83,IF($O$24=$X$20,Y83,IF($O$24=$AB$20,AC83,AG83))),  IF($O$24=$T$20,V83,IF($O$24=$X$20,Z83,IF($O$24=$AB$20,AD83,AH83))))</f>
        <v>0.01</v>
      </c>
      <c r="R83" s="42" t="str">
        <f t="shared" si="15"/>
        <v>ok</v>
      </c>
      <c r="T83" s="30">
        <v>0</v>
      </c>
      <c r="U83" s="30">
        <v>0.01</v>
      </c>
      <c r="V83" s="30"/>
      <c r="W83" s="29"/>
      <c r="X83" s="30">
        <v>0</v>
      </c>
      <c r="Y83" s="30">
        <v>0.01</v>
      </c>
      <c r="Z83" s="30"/>
      <c r="AA83" s="27"/>
      <c r="AB83" s="30">
        <v>0</v>
      </c>
      <c r="AC83" s="30">
        <v>0.01</v>
      </c>
      <c r="AD83" s="30"/>
      <c r="AE83" s="27"/>
      <c r="AF83" s="30">
        <v>0</v>
      </c>
      <c r="AG83" s="30">
        <v>0.01</v>
      </c>
      <c r="AH83" s="30"/>
      <c r="AI83" s="137">
        <f>Orç_analítico_Hab!M425/IF(Orç_analítico_Hab!M$430=0,1,Orç_analítico_Hab!M$430)</f>
        <v>0</v>
      </c>
      <c r="AJ83" s="138">
        <f t="shared" si="17"/>
        <v>0</v>
      </c>
      <c r="AK83" s="139">
        <f t="shared" si="16"/>
        <v>0</v>
      </c>
    </row>
    <row r="84" spans="2:37" s="19" customFormat="1" ht="11.1" customHeight="1" x14ac:dyDescent="0.25">
      <c r="B84" s="68" t="s">
        <v>188</v>
      </c>
      <c r="C84" s="56" t="s">
        <v>189</v>
      </c>
      <c r="D84" s="56"/>
      <c r="E84" s="56"/>
      <c r="F84" s="56"/>
      <c r="G84" s="56"/>
      <c r="H84" s="56"/>
      <c r="I84" s="56"/>
      <c r="J84" s="56"/>
      <c r="K84" s="194">
        <v>1.7999999999999999E-2</v>
      </c>
      <c r="L84" s="195">
        <f>ROUND(K84*FRE!$M$187,2)</f>
        <v>0</v>
      </c>
      <c r="M84" s="130"/>
      <c r="N84" s="20"/>
      <c r="O84" s="39">
        <f t="shared" si="14"/>
        <v>0</v>
      </c>
      <c r="P84" s="40" t="s">
        <v>195</v>
      </c>
      <c r="Q84" s="41">
        <f>IF(OR(FRE!$N$189="não",FRE!$N$189&lt;"0"),   IF($O$24=$T$20,U84,IF($O$24=$X$20,Y84,IF($O$24=$AB$20,AC84,AG84))),  IF($O$24=$T$20,V84,IF($O$24=$X$20,Z84,IF($O$24=$AB$20,AD84,AH84))))</f>
        <v>0.02</v>
      </c>
      <c r="R84" s="42" t="str">
        <f t="shared" si="15"/>
        <v>ok</v>
      </c>
      <c r="T84" s="30">
        <v>0</v>
      </c>
      <c r="U84" s="30">
        <v>0.02</v>
      </c>
      <c r="V84" s="30"/>
      <c r="W84" s="29"/>
      <c r="X84" s="30">
        <v>0</v>
      </c>
      <c r="Y84" s="30">
        <v>0.02</v>
      </c>
      <c r="Z84" s="30"/>
      <c r="AA84" s="27"/>
      <c r="AB84" s="30">
        <v>0</v>
      </c>
      <c r="AC84" s="30">
        <v>0.02</v>
      </c>
      <c r="AD84" s="30"/>
      <c r="AE84" s="27"/>
      <c r="AF84" s="30">
        <v>0</v>
      </c>
      <c r="AG84" s="30">
        <v>0.02</v>
      </c>
      <c r="AH84" s="30"/>
      <c r="AI84" s="137">
        <f>Orç_analítico_Hab!M426/IF(Orç_analítico_Hab!M$430=0,1,Orç_analítico_Hab!M$430)</f>
        <v>0</v>
      </c>
      <c r="AJ84" s="138">
        <f t="shared" si="17"/>
        <v>0</v>
      </c>
      <c r="AK84" s="139">
        <f t="shared" si="16"/>
        <v>0</v>
      </c>
    </row>
    <row r="85" spans="2:37" s="1" customFormat="1" ht="11.1" customHeight="1" x14ac:dyDescent="0.25">
      <c r="B85" s="68" t="s">
        <v>190</v>
      </c>
      <c r="C85" s="56" t="s">
        <v>695</v>
      </c>
      <c r="D85" s="14"/>
      <c r="E85" s="14"/>
      <c r="F85" s="14"/>
      <c r="G85" s="14"/>
      <c r="H85" s="14"/>
      <c r="I85" s="14"/>
      <c r="J85" s="14"/>
      <c r="K85" s="194">
        <v>0.01</v>
      </c>
      <c r="L85" s="195">
        <f>ROUND(K85*FRE!$M$187,2)</f>
        <v>0</v>
      </c>
      <c r="M85" s="131"/>
      <c r="N85" s="51"/>
      <c r="O85" s="39">
        <f t="shared" si="14"/>
        <v>0</v>
      </c>
      <c r="P85" s="40" t="s">
        <v>195</v>
      </c>
      <c r="Q85" s="41">
        <f>IF(OR(FRE!$N$189="não",FRE!$N$189&lt;"0"),   IF($O$24=$T$20,U85,IF($O$24=$X$20,Y85,IF($O$24=$AB$20,AC85,AG85))),  IF($O$24=$T$20,V85,IF($O$24=$X$20,Z85,IF($O$24=$AB$20,AD85,AH85))))</f>
        <v>0.01</v>
      </c>
      <c r="R85" s="42" t="str">
        <f t="shared" si="15"/>
        <v>ok</v>
      </c>
      <c r="T85" s="30">
        <v>0</v>
      </c>
      <c r="U85" s="30">
        <v>0.01</v>
      </c>
      <c r="V85" s="30"/>
      <c r="W85" s="29"/>
      <c r="X85" s="30">
        <v>0.01</v>
      </c>
      <c r="Y85" s="30">
        <v>0.03</v>
      </c>
      <c r="Z85" s="30"/>
      <c r="AA85" s="27"/>
      <c r="AB85" s="30">
        <v>0.01</v>
      </c>
      <c r="AC85" s="30">
        <v>0.03</v>
      </c>
      <c r="AD85" s="30"/>
      <c r="AE85" s="27"/>
      <c r="AF85" s="30">
        <v>0.01</v>
      </c>
      <c r="AG85" s="30">
        <v>0.03</v>
      </c>
      <c r="AH85" s="30"/>
      <c r="AI85" s="137">
        <f>Orç_analítico_Hab!M427/IF(Orç_analítico_Hab!M$430=0,1,Orç_analítico_Hab!M$430)</f>
        <v>0</v>
      </c>
      <c r="AJ85" s="138">
        <f t="shared" si="17"/>
        <v>0</v>
      </c>
      <c r="AK85" s="139">
        <f t="shared" si="16"/>
        <v>0</v>
      </c>
    </row>
    <row r="86" spans="2:37" ht="18" customHeight="1" x14ac:dyDescent="0.3">
      <c r="B86" s="71"/>
      <c r="C86" s="72" t="str">
        <f>IF(AND(I22="SIM",K75&gt;0),"APAGAR VALORES RELATIVOS A INFRAESTRUTURA NO ORÇAMENTO SINTÉTICO OU ANALITICO DE HABITAÇÃO","TOTAL")</f>
        <v>TOTAL</v>
      </c>
      <c r="D86" s="72"/>
      <c r="E86" s="72"/>
      <c r="F86" s="72"/>
      <c r="G86" s="72"/>
      <c r="H86" s="72"/>
      <c r="I86" s="72"/>
      <c r="J86" s="72"/>
      <c r="K86" s="198">
        <f>IF(SUM(K25,K36,K39:K40,K45,K48,K55,K62,K71,K75)&gt;100%,"Passou "&amp;TEXT((SUM(K25,K36,K39:K40,K45,K48,K55,K62,K71,K75)-100%)*100,"0,00")&amp;"%",
IF(SUM(K25,K36,K39:K40,K45,K48,K55,K62,K71,K75)&lt;100%,"Falta "&amp;TEXT((100%-SUM(K25,K36,K39:K40,K45,K48,K55,K62,K71,K75))*100,"0,00")&amp;"%",
100%))</f>
        <v>1</v>
      </c>
      <c r="L86" s="199">
        <f>IF($I$22="não",SUM(L25,L36,L39:L40,L45,L48,L55,L62,L71,L75),SUM(L25,L36,L39:L40,L45,L48,L55,L62,L71))</f>
        <v>0</v>
      </c>
      <c r="M86" s="132"/>
      <c r="N86" s="52"/>
      <c r="AK86" s="47">
        <f>IF($I$22="não",SUM(AK25,AK36,AK39:AK40,AK45,AK48,AK55,AK62,AK71,AK75),SUM(AK25,AK36,AK39:AK40,AK45,AK48,AK55,AK62,AK71))</f>
        <v>0</v>
      </c>
    </row>
    <row r="87" spans="2:37" x14ac:dyDescent="0.3">
      <c r="B87" s="20"/>
      <c r="C87" s="19"/>
      <c r="Q87" s="39"/>
      <c r="R87" s="40"/>
      <c r="S87" s="41"/>
      <c r="T87" s="333" t="s">
        <v>196</v>
      </c>
      <c r="U87" s="334"/>
      <c r="V87" s="31"/>
      <c r="W87" s="27"/>
      <c r="X87" s="333" t="s">
        <v>196</v>
      </c>
      <c r="Y87" s="334"/>
      <c r="Z87" s="31"/>
      <c r="AA87" s="27"/>
      <c r="AB87" s="333" t="s">
        <v>196</v>
      </c>
      <c r="AC87" s="334"/>
      <c r="AD87" s="31"/>
      <c r="AE87" s="27"/>
      <c r="AF87" s="333" t="s">
        <v>196</v>
      </c>
      <c r="AG87" s="334"/>
      <c r="AH87" s="30"/>
      <c r="AK87" s="141">
        <f>FRE!$O$187-AK86</f>
        <v>0</v>
      </c>
    </row>
    <row r="88" spans="2:37" x14ac:dyDescent="0.3">
      <c r="I88" s="11" t="s">
        <v>174</v>
      </c>
      <c r="J88" s="12"/>
      <c r="K88" s="12"/>
      <c r="L88" s="12"/>
      <c r="Q88" s="39"/>
      <c r="R88" s="40"/>
      <c r="S88" s="41"/>
      <c r="T88" s="336" t="s">
        <v>197</v>
      </c>
      <c r="U88" s="337"/>
      <c r="V88" s="32"/>
      <c r="W88" s="27"/>
      <c r="X88" s="336" t="s">
        <v>197</v>
      </c>
      <c r="Y88" s="337"/>
      <c r="Z88" s="32"/>
      <c r="AA88" s="27"/>
      <c r="AB88" s="336" t="s">
        <v>197</v>
      </c>
      <c r="AC88" s="337"/>
      <c r="AD88" s="32"/>
      <c r="AE88" s="27"/>
      <c r="AF88" s="336" t="s">
        <v>197</v>
      </c>
      <c r="AG88" s="337"/>
      <c r="AH88" s="30"/>
    </row>
    <row r="89" spans="2:37" x14ac:dyDescent="0.3">
      <c r="I89" s="4" t="s">
        <v>57</v>
      </c>
      <c r="J89" s="260" t="str">
        <f>IF(FRE!$B$22="","",FRE!$B$22)</f>
        <v>{RESPONSÁVEL TÉCNICO}</v>
      </c>
      <c r="K89" s="260"/>
      <c r="L89" s="260"/>
      <c r="Q89" s="39"/>
      <c r="R89" s="40"/>
      <c r="S89" s="41"/>
      <c r="T89" s="336" t="s">
        <v>198</v>
      </c>
      <c r="U89" s="337"/>
      <c r="V89" s="32"/>
      <c r="W89" s="27"/>
      <c r="X89" s="336" t="s">
        <v>198</v>
      </c>
      <c r="Y89" s="337"/>
      <c r="Z89" s="32"/>
      <c r="AA89" s="27"/>
      <c r="AB89" s="336" t="s">
        <v>198</v>
      </c>
      <c r="AC89" s="337"/>
      <c r="AD89" s="32"/>
      <c r="AE89" s="27"/>
      <c r="AF89" s="336" t="s">
        <v>198</v>
      </c>
      <c r="AG89" s="337"/>
      <c r="AH89" s="30"/>
    </row>
    <row r="90" spans="2:37" x14ac:dyDescent="0.3">
      <c r="I90" s="4" t="s">
        <v>58</v>
      </c>
      <c r="J90" s="332" t="str">
        <f>IF(FRE!$M$22="","",FRE!$M$22)</f>
        <v>{DOC. RESPONSÁVEL}</v>
      </c>
      <c r="K90" s="332"/>
      <c r="L90" s="332"/>
      <c r="Q90" s="39"/>
      <c r="R90" s="40"/>
      <c r="S90" s="134"/>
      <c r="T90" s="336" t="s">
        <v>199</v>
      </c>
      <c r="U90" s="337"/>
      <c r="V90" s="32"/>
      <c r="W90" s="27"/>
      <c r="X90" s="336" t="s">
        <v>199</v>
      </c>
      <c r="Y90" s="337"/>
      <c r="Z90" s="32"/>
      <c r="AA90" s="27"/>
      <c r="AB90" s="336" t="s">
        <v>199</v>
      </c>
      <c r="AC90" s="337"/>
      <c r="AD90" s="32"/>
      <c r="AE90" s="27"/>
      <c r="AF90" s="336" t="s">
        <v>199</v>
      </c>
      <c r="AG90" s="337"/>
      <c r="AH90" s="27"/>
    </row>
    <row r="91" spans="2:37" x14ac:dyDescent="0.3">
      <c r="I91" s="4" t="s">
        <v>59</v>
      </c>
      <c r="J91" s="332" t="str">
        <f>IF(FRE!$J$22="","",FRE!$J$22)</f>
        <v>{CREA}</v>
      </c>
      <c r="K91" s="332"/>
      <c r="L91" s="332"/>
      <c r="Q91" s="39"/>
      <c r="R91" s="40"/>
      <c r="S91" s="134"/>
      <c r="T91" s="338">
        <f>SUM(T42:T61,T66:T85)+70%*SUM(T63:T65)+50%*SUM(U29:U35)</f>
        <v>0.42949999999999999</v>
      </c>
      <c r="U91" s="339"/>
      <c r="V91" s="46"/>
      <c r="W91" s="27"/>
      <c r="X91" s="338">
        <f>SUM(X42:X61,X66:X85)+70%*SUM(X63:X65)+50%*SUM(Y29:Y35)</f>
        <v>0.43650000000000011</v>
      </c>
      <c r="Y91" s="339"/>
      <c r="Z91" s="46"/>
      <c r="AA91" s="27"/>
      <c r="AB91" s="338">
        <f>SUM(AB42:AB61,AB66:AB85)+70%*SUM(AB63:AB65)+50%*SUM(AC29:AC35)</f>
        <v>0.41550000000000004</v>
      </c>
      <c r="AC91" s="339"/>
      <c r="AD91" s="46"/>
      <c r="AE91" s="27"/>
      <c r="AF91" s="338">
        <f>SUM(AF42:AF61,AF66:AF85)+70%*SUM(AF63:AF65)+50%*SUM(AG29:AG35)</f>
        <v>0.41849999999999998</v>
      </c>
      <c r="AG91" s="339"/>
      <c r="AH91" s="27"/>
    </row>
    <row r="92" spans="2:37" x14ac:dyDescent="0.3">
      <c r="Q92" s="39"/>
      <c r="R92" s="40"/>
      <c r="S92" s="134"/>
      <c r="T92" s="45"/>
      <c r="U92" s="29"/>
      <c r="V92" s="29"/>
      <c r="W92" s="29"/>
      <c r="X92" s="29"/>
      <c r="Y92" s="29"/>
      <c r="Z92" s="29"/>
      <c r="AA92" s="29"/>
      <c r="AB92" s="29"/>
      <c r="AC92" s="27"/>
      <c r="AD92" s="27"/>
      <c r="AE92" s="27"/>
      <c r="AF92" s="27"/>
      <c r="AG92" s="21"/>
      <c r="AH92" s="21"/>
    </row>
    <row r="93" spans="2:37" x14ac:dyDescent="0.3">
      <c r="Q93" s="39"/>
      <c r="R93" s="40"/>
      <c r="S93" s="134"/>
      <c r="T93" s="45"/>
      <c r="U93" s="29"/>
      <c r="V93" s="29"/>
      <c r="W93" s="29"/>
      <c r="X93" s="29"/>
      <c r="Y93" s="29"/>
      <c r="Z93" s="29"/>
      <c r="AA93" s="29"/>
      <c r="AB93" s="29"/>
      <c r="AC93" s="27"/>
      <c r="AD93" s="27"/>
      <c r="AE93" s="27"/>
      <c r="AF93" s="27"/>
      <c r="AG93" s="21"/>
      <c r="AH93" s="21"/>
    </row>
  </sheetData>
  <mergeCells count="39">
    <mergeCell ref="AH21:AH24"/>
    <mergeCell ref="V21:V24"/>
    <mergeCell ref="X21:X24"/>
    <mergeCell ref="Y21:Y24"/>
    <mergeCell ref="Z21:Z24"/>
    <mergeCell ref="AB21:AB24"/>
    <mergeCell ref="AC21:AC24"/>
    <mergeCell ref="T91:U91"/>
    <mergeCell ref="X91:Y91"/>
    <mergeCell ref="AB91:AC91"/>
    <mergeCell ref="AF91:AG91"/>
    <mergeCell ref="T90:U90"/>
    <mergeCell ref="X90:Y90"/>
    <mergeCell ref="AF89:AG89"/>
    <mergeCell ref="T88:U88"/>
    <mergeCell ref="X88:Y88"/>
    <mergeCell ref="AB90:AC90"/>
    <mergeCell ref="AF90:AG90"/>
    <mergeCell ref="J90:L90"/>
    <mergeCell ref="J91:L91"/>
    <mergeCell ref="AB87:AC87"/>
    <mergeCell ref="AF87:AG87"/>
    <mergeCell ref="T21:T24"/>
    <mergeCell ref="U21:U24"/>
    <mergeCell ref="AD21:AD24"/>
    <mergeCell ref="AF21:AF24"/>
    <mergeCell ref="AG21:AG24"/>
    <mergeCell ref="T87:U87"/>
    <mergeCell ref="X87:Y87"/>
    <mergeCell ref="AB88:AC88"/>
    <mergeCell ref="AF88:AG88"/>
    <mergeCell ref="T89:U89"/>
    <mergeCell ref="X89:Y89"/>
    <mergeCell ref="AB89:AC89"/>
    <mergeCell ref="O24:Q24"/>
    <mergeCell ref="J89:L89"/>
    <mergeCell ref="K1:L1"/>
    <mergeCell ref="K2:L2"/>
    <mergeCell ref="C22:E22"/>
  </mergeCells>
  <phoneticPr fontId="25" type="noConversion"/>
  <conditionalFormatting sqref="C22">
    <cfRule type="expression" dxfId="39" priority="15">
      <formula>TRIM(C22)&lt;"0"</formula>
    </cfRule>
  </conditionalFormatting>
  <conditionalFormatting sqref="K75 AI75:AJ75 A75:I85 L75:P85 S75:AH85 AL75:IV85 J76:J85 Q76:Q85">
    <cfRule type="expression" dxfId="38" priority="27" stopIfTrue="1">
      <formula>$I$22="sim"</formula>
    </cfRule>
  </conditionalFormatting>
  <conditionalFormatting sqref="K86">
    <cfRule type="expression" dxfId="37" priority="1">
      <formula>SUM(K25,K36,K39:K40,K45,K48,K55,K62,K71,K75)&lt;100%</formula>
    </cfRule>
    <cfRule type="expression" dxfId="36" priority="2">
      <formula>SUM(K25,K36,K39:K40,K45,K48,K55,K62,K71,K75)&gt;100%</formula>
    </cfRule>
  </conditionalFormatting>
  <conditionalFormatting sqref="R26:R35 R37:R39 R41:R44 R46:R47 R49:R54 R56:R61 R63:R70 R72:R74 R76:R85">
    <cfRule type="expression" dxfId="35" priority="13" stopIfTrue="1">
      <formula>AND(R26&lt;&gt;"ok",R26&lt;&gt;"-",R26&lt;&gt;"")</formula>
    </cfRule>
  </conditionalFormatting>
  <conditionalFormatting sqref="R75">
    <cfRule type="expression" dxfId="34" priority="28" stopIfTrue="1">
      <formula>$I$22="sim"</formula>
    </cfRule>
    <cfRule type="expression" dxfId="33" priority="29" stopIfTrue="1">
      <formula>AND(A75&lt;&gt;"ok",A75&lt;&gt;"-",A75&lt;&gt;"")</formula>
    </cfRule>
  </conditionalFormatting>
  <dataValidations disablePrompts="1" count="2">
    <dataValidation type="list" allowBlank="1" showInputMessage="1" showErrorMessage="1" sqref="C22" xr:uid="{E781F3D5-9D02-48A1-9096-2E788BD7F33E}">
      <formula1>$A$1:$A$5</formula1>
    </dataValidation>
    <dataValidation allowBlank="1" showInputMessage="1" showErrorMessage="1" promptTitle="Alteração da Fórmula" prompt="Ao apagar a fórmula e digitar o % de incidência diretamente no orçamento sintético, deve-se ser apagar também as fórmulas do &quot;Custo Direto&quot;, &quot;BDI&quot;, &quot;Custo Global&quot; na linha 99 da aba &quot;FRE&quot;._x000a_Esses valores deverão ser inseridos diretamente nas células._x000a_" sqref="K26:K35 K37:K39 K41:K44 K46:K47 K49:K54 K56:K61 K63:K70 K76:K85 K72:K74" xr:uid="{1B464744-1089-4C93-A440-CA338B9D99F5}"/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65" orientation="portrait" horizontalDpi="4294967295" verticalDpi="4294967295" r:id="rId1"/>
  <headerFooter>
    <oddHeader>&amp;R&amp;"Arial,Normal"&amp;9V15_vigência 01.08.2022</oddHeader>
  </headerFooter>
  <rowBreaks count="1" manualBreakCount="1">
    <brk id="70" max="12" man="1"/>
  </rowBreaks>
  <ignoredErrors>
    <ignoredError sqref="L75 L62 L36 L40 L45 L48 L55" formula="1"/>
    <ignoredError sqref="K36 K55 K48 K45 K40 K75 K62" formula="1" unlockedFormula="1"/>
    <ignoredError sqref="K71 K58 K67:K70 K74 K39" unlocked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565A-0000-4CA6-9CBF-790313EED587}">
  <sheetPr codeName="Plan4">
    <tabColor rgb="FFFF0000"/>
  </sheetPr>
  <dimension ref="A1:N440"/>
  <sheetViews>
    <sheetView showGridLines="0" showWhiteSpace="0" view="pageBreakPreview" zoomScale="130" zoomScaleNormal="100" zoomScaleSheetLayoutView="130" workbookViewId="0">
      <selection activeCell="E2" sqref="E2"/>
    </sheetView>
  </sheetViews>
  <sheetFormatPr defaultColWidth="9.109375" defaultRowHeight="10.199999999999999" x14ac:dyDescent="0.3"/>
  <cols>
    <col min="1" max="1" width="1.109375" style="56" customWidth="1"/>
    <col min="2" max="2" width="9.109375" style="55"/>
    <col min="3" max="9" width="9.109375" style="56"/>
    <col min="10" max="10" width="9.109375" style="55"/>
    <col min="11" max="11" width="9.109375" style="55" customWidth="1"/>
    <col min="12" max="12" width="9.109375" style="55"/>
    <col min="13" max="13" width="14.6640625" style="55" bestFit="1" customWidth="1"/>
    <col min="14" max="14" width="9.109375" style="55"/>
    <col min="15" max="16384" width="9.109375" style="56"/>
  </cols>
  <sheetData>
    <row r="1" spans="1:13" x14ac:dyDescent="0.2">
      <c r="A1" s="54" t="s">
        <v>60</v>
      </c>
      <c r="L1" s="242" t="s">
        <v>857</v>
      </c>
      <c r="M1" s="243"/>
    </row>
    <row r="2" spans="1:13" ht="15.6" x14ac:dyDescent="0.3">
      <c r="A2" s="54" t="s">
        <v>78</v>
      </c>
      <c r="E2" s="186" t="s">
        <v>524</v>
      </c>
      <c r="L2" s="244" t="s">
        <v>858</v>
      </c>
      <c r="M2" s="245"/>
    </row>
    <row r="3" spans="1:13" ht="8.1" customHeight="1" x14ac:dyDescent="0.3">
      <c r="A3" s="54" t="s">
        <v>79</v>
      </c>
    </row>
    <row r="4" spans="1:13" ht="11.25" customHeight="1" x14ac:dyDescent="0.25">
      <c r="A4" s="54" t="s">
        <v>80</v>
      </c>
      <c r="E4" s="147" t="str">
        <f>FRE!$D$4</f>
        <v>Programa:</v>
      </c>
      <c r="F4" s="185" t="str">
        <f>FRE!$E$4</f>
        <v>Apoio à Produção de Imóveis - Pessoa Jurídica</v>
      </c>
    </row>
    <row r="5" spans="1:13" ht="11.25" customHeight="1" x14ac:dyDescent="0.3">
      <c r="A5" s="54" t="s">
        <v>81</v>
      </c>
    </row>
    <row r="6" spans="1:13" ht="11.25" customHeight="1" x14ac:dyDescent="0.3"/>
    <row r="7" spans="1:13" ht="11.25" customHeight="1" x14ac:dyDescent="0.3"/>
    <row r="8" spans="1:13" ht="11.25" customHeight="1" x14ac:dyDescent="0.3"/>
    <row r="9" spans="1:13" ht="11.25" customHeight="1" x14ac:dyDescent="0.3"/>
    <row r="10" spans="1:13" ht="11.25" customHeight="1" x14ac:dyDescent="0.3"/>
    <row r="11" spans="1:13" ht="11.25" customHeight="1" x14ac:dyDescent="0.3"/>
    <row r="12" spans="1:13" ht="11.25" customHeight="1" x14ac:dyDescent="0.3"/>
    <row r="13" spans="1:13" ht="11.25" customHeight="1" x14ac:dyDescent="0.3"/>
    <row r="14" spans="1:13" ht="11.25" customHeight="1" x14ac:dyDescent="0.3"/>
    <row r="15" spans="1:13" ht="11.25" customHeight="1" x14ac:dyDescent="0.3"/>
    <row r="16" spans="1:13" ht="11.25" customHeight="1" x14ac:dyDescent="0.3"/>
    <row r="17" spans="2:14" ht="24" customHeight="1" x14ac:dyDescent="0.3">
      <c r="I17" s="54" t="str">
        <f>FRE!N189</f>
        <v>não</v>
      </c>
      <c r="J17" s="61" t="s">
        <v>651</v>
      </c>
      <c r="K17" s="61" t="s">
        <v>62</v>
      </c>
      <c r="L17" s="61" t="s">
        <v>652</v>
      </c>
      <c r="M17" s="61" t="s">
        <v>63</v>
      </c>
      <c r="N17" s="61" t="s">
        <v>653</v>
      </c>
    </row>
    <row r="18" spans="2:14" x14ac:dyDescent="0.3">
      <c r="B18" s="62" t="s">
        <v>201</v>
      </c>
      <c r="C18" s="63" t="s">
        <v>525</v>
      </c>
      <c r="D18" s="64"/>
      <c r="E18" s="64"/>
      <c r="F18" s="64"/>
      <c r="G18" s="64"/>
      <c r="H18" s="64"/>
      <c r="I18" s="64"/>
      <c r="J18" s="64"/>
      <c r="K18" s="64"/>
      <c r="L18" s="64"/>
      <c r="M18" s="66"/>
      <c r="N18" s="67"/>
    </row>
    <row r="19" spans="2:14" x14ac:dyDescent="0.3">
      <c r="B19" s="68" t="s">
        <v>84</v>
      </c>
      <c r="C19" s="56" t="s">
        <v>85</v>
      </c>
      <c r="J19" s="76"/>
      <c r="K19" s="77"/>
      <c r="L19" s="77"/>
      <c r="M19" s="69">
        <f>ROUND(L19*K19,2)</f>
        <v>0</v>
      </c>
      <c r="N19" s="70"/>
    </row>
    <row r="20" spans="2:14" x14ac:dyDescent="0.3">
      <c r="B20" s="68" t="s">
        <v>86</v>
      </c>
      <c r="C20" s="56" t="s">
        <v>87</v>
      </c>
      <c r="J20" s="76"/>
      <c r="K20" s="77"/>
      <c r="L20" s="77"/>
      <c r="M20" s="69">
        <f>ROUND(L20*K20,2)</f>
        <v>0</v>
      </c>
      <c r="N20" s="70"/>
    </row>
    <row r="21" spans="2:14" x14ac:dyDescent="0.3">
      <c r="B21" s="68" t="s">
        <v>88</v>
      </c>
      <c r="C21" s="56" t="s">
        <v>89</v>
      </c>
      <c r="J21" s="76"/>
      <c r="K21" s="77"/>
      <c r="L21" s="77"/>
      <c r="M21" s="69">
        <f t="shared" ref="M21:M28" si="0">ROUND(L21*K21,2)</f>
        <v>0</v>
      </c>
      <c r="N21" s="70"/>
    </row>
    <row r="22" spans="2:14" x14ac:dyDescent="0.3">
      <c r="B22" s="68" t="s">
        <v>90</v>
      </c>
      <c r="C22" s="56" t="s">
        <v>91</v>
      </c>
      <c r="J22" s="76"/>
      <c r="K22" s="77"/>
      <c r="L22" s="77"/>
      <c r="M22" s="69">
        <f t="shared" si="0"/>
        <v>0</v>
      </c>
      <c r="N22" s="70"/>
    </row>
    <row r="23" spans="2:14" x14ac:dyDescent="0.3">
      <c r="B23" s="68" t="s">
        <v>92</v>
      </c>
      <c r="C23" s="56" t="s">
        <v>93</v>
      </c>
      <c r="J23" s="76"/>
      <c r="K23" s="77"/>
      <c r="L23" s="77"/>
      <c r="M23" s="69">
        <f t="shared" si="0"/>
        <v>0</v>
      </c>
      <c r="N23" s="70"/>
    </row>
    <row r="24" spans="2:14" x14ac:dyDescent="0.3">
      <c r="B24" s="68" t="s">
        <v>94</v>
      </c>
      <c r="C24" s="56" t="s">
        <v>95</v>
      </c>
      <c r="J24" s="76"/>
      <c r="K24" s="77"/>
      <c r="L24" s="77"/>
      <c r="M24" s="69">
        <f t="shared" si="0"/>
        <v>0</v>
      </c>
      <c r="N24" s="70"/>
    </row>
    <row r="25" spans="2:14" x14ac:dyDescent="0.3">
      <c r="B25" s="68" t="s">
        <v>96</v>
      </c>
      <c r="C25" s="56" t="s">
        <v>97</v>
      </c>
      <c r="J25" s="76"/>
      <c r="K25" s="77"/>
      <c r="L25" s="77"/>
      <c r="M25" s="69">
        <f t="shared" si="0"/>
        <v>0</v>
      </c>
      <c r="N25" s="70"/>
    </row>
    <row r="26" spans="2:14" x14ac:dyDescent="0.3">
      <c r="B26" s="68" t="s">
        <v>98</v>
      </c>
      <c r="C26" s="56" t="s">
        <v>99</v>
      </c>
      <c r="I26" s="83"/>
      <c r="J26" s="76"/>
      <c r="K26" s="77"/>
      <c r="L26" s="77"/>
      <c r="M26" s="69">
        <f t="shared" si="0"/>
        <v>0</v>
      </c>
      <c r="N26" s="70"/>
    </row>
    <row r="27" spans="2:14" x14ac:dyDescent="0.3">
      <c r="B27" s="68" t="s">
        <v>100</v>
      </c>
      <c r="C27" s="56" t="s">
        <v>101</v>
      </c>
      <c r="I27" s="83"/>
      <c r="J27" s="76"/>
      <c r="K27" s="77"/>
      <c r="L27" s="77"/>
      <c r="M27" s="69">
        <f t="shared" si="0"/>
        <v>0</v>
      </c>
      <c r="N27" s="70"/>
    </row>
    <row r="28" spans="2:14" x14ac:dyDescent="0.3">
      <c r="B28" s="68" t="s">
        <v>102</v>
      </c>
      <c r="C28" s="56" t="s">
        <v>103</v>
      </c>
      <c r="I28" s="83"/>
      <c r="J28" s="76"/>
      <c r="K28" s="77"/>
      <c r="L28" s="77"/>
      <c r="M28" s="69">
        <f t="shared" si="0"/>
        <v>0</v>
      </c>
      <c r="N28" s="70"/>
    </row>
    <row r="29" spans="2:14" x14ac:dyDescent="0.3">
      <c r="B29" s="71"/>
      <c r="C29" s="72" t="s">
        <v>529</v>
      </c>
      <c r="D29" s="73"/>
      <c r="E29" s="73"/>
      <c r="F29" s="73"/>
      <c r="G29" s="73"/>
      <c r="H29" s="73"/>
      <c r="I29" s="73"/>
      <c r="J29" s="73"/>
      <c r="K29" s="73"/>
      <c r="L29" s="73"/>
      <c r="M29" s="75">
        <f>SUM(M18:M28)</f>
        <v>0</v>
      </c>
      <c r="N29" s="133">
        <f>IF($M$430=0,0,M29/$M$430)</f>
        <v>0</v>
      </c>
    </row>
    <row r="30" spans="2:14" x14ac:dyDescent="0.3">
      <c r="C30" s="57"/>
    </row>
    <row r="31" spans="2:14" x14ac:dyDescent="0.3">
      <c r="B31" s="62">
        <v>2</v>
      </c>
      <c r="C31" s="63" t="s">
        <v>104</v>
      </c>
      <c r="D31" s="64"/>
      <c r="E31" s="64"/>
      <c r="F31" s="64"/>
      <c r="G31" s="64"/>
      <c r="H31" s="64"/>
      <c r="I31" s="64"/>
      <c r="J31" s="65"/>
      <c r="K31" s="65"/>
      <c r="L31" s="65"/>
      <c r="M31" s="65"/>
      <c r="N31" s="67"/>
    </row>
    <row r="32" spans="2:14" x14ac:dyDescent="0.3">
      <c r="B32" s="78" t="s">
        <v>105</v>
      </c>
      <c r="C32" s="57" t="s">
        <v>532</v>
      </c>
      <c r="N32" s="70"/>
    </row>
    <row r="33" spans="2:14" x14ac:dyDescent="0.3">
      <c r="B33" s="68" t="s">
        <v>205</v>
      </c>
      <c r="C33" s="56" t="s">
        <v>206</v>
      </c>
      <c r="J33" s="76"/>
      <c r="K33" s="77"/>
      <c r="L33" s="77"/>
      <c r="M33" s="69">
        <f t="shared" ref="M33:M42" si="1">ROUND(L33*K33,2)</f>
        <v>0</v>
      </c>
      <c r="N33" s="70"/>
    </row>
    <row r="34" spans="2:14" x14ac:dyDescent="0.3">
      <c r="B34" s="68" t="s">
        <v>207</v>
      </c>
      <c r="C34" s="56" t="s">
        <v>208</v>
      </c>
      <c r="J34" s="76"/>
      <c r="K34" s="77"/>
      <c r="L34" s="77"/>
      <c r="M34" s="69">
        <f t="shared" si="1"/>
        <v>0</v>
      </c>
      <c r="N34" s="70"/>
    </row>
    <row r="35" spans="2:14" x14ac:dyDescent="0.3">
      <c r="B35" s="68" t="s">
        <v>209</v>
      </c>
      <c r="C35" s="56" t="s">
        <v>210</v>
      </c>
      <c r="J35" s="76"/>
      <c r="K35" s="77"/>
      <c r="L35" s="77"/>
      <c r="M35" s="69">
        <f t="shared" si="1"/>
        <v>0</v>
      </c>
      <c r="N35" s="70"/>
    </row>
    <row r="36" spans="2:14" x14ac:dyDescent="0.3">
      <c r="B36" s="68" t="s">
        <v>212</v>
      </c>
      <c r="C36" s="56" t="s">
        <v>213</v>
      </c>
      <c r="J36" s="76"/>
      <c r="K36" s="77"/>
      <c r="L36" s="77"/>
      <c r="M36" s="69">
        <f t="shared" si="1"/>
        <v>0</v>
      </c>
      <c r="N36" s="70"/>
    </row>
    <row r="37" spans="2:14" x14ac:dyDescent="0.3">
      <c r="B37" s="68" t="s">
        <v>214</v>
      </c>
      <c r="C37" s="56" t="s">
        <v>215</v>
      </c>
      <c r="J37" s="76"/>
      <c r="K37" s="77"/>
      <c r="L37" s="77"/>
      <c r="M37" s="69">
        <f t="shared" si="1"/>
        <v>0</v>
      </c>
      <c r="N37" s="70"/>
    </row>
    <row r="38" spans="2:14" x14ac:dyDescent="0.3">
      <c r="B38" s="68" t="s">
        <v>216</v>
      </c>
      <c r="C38" s="56" t="s">
        <v>217</v>
      </c>
      <c r="D38" s="56" t="s">
        <v>211</v>
      </c>
      <c r="J38" s="76"/>
      <c r="K38" s="77"/>
      <c r="L38" s="77"/>
      <c r="M38" s="69">
        <f t="shared" si="1"/>
        <v>0</v>
      </c>
      <c r="N38" s="70"/>
    </row>
    <row r="39" spans="2:14" x14ac:dyDescent="0.3">
      <c r="B39" s="68" t="s">
        <v>218</v>
      </c>
      <c r="C39" s="56" t="s">
        <v>219</v>
      </c>
      <c r="J39" s="76"/>
      <c r="K39" s="77"/>
      <c r="L39" s="77"/>
      <c r="M39" s="69">
        <f t="shared" si="1"/>
        <v>0</v>
      </c>
      <c r="N39" s="70"/>
    </row>
    <row r="40" spans="2:14" x14ac:dyDescent="0.3">
      <c r="B40" s="68" t="s">
        <v>531</v>
      </c>
      <c r="C40" s="340"/>
      <c r="D40" s="340"/>
      <c r="E40" s="340"/>
      <c r="F40" s="340"/>
      <c r="G40" s="340"/>
      <c r="H40" s="340"/>
      <c r="I40" s="83"/>
      <c r="J40" s="76"/>
      <c r="K40" s="77"/>
      <c r="L40" s="77"/>
      <c r="M40" s="69">
        <f t="shared" si="1"/>
        <v>0</v>
      </c>
      <c r="N40" s="70"/>
    </row>
    <row r="41" spans="2:14" x14ac:dyDescent="0.3">
      <c r="B41" s="68" t="s">
        <v>530</v>
      </c>
      <c r="C41" s="340"/>
      <c r="D41" s="340"/>
      <c r="E41" s="340"/>
      <c r="F41" s="340"/>
      <c r="G41" s="340"/>
      <c r="H41" s="340"/>
      <c r="I41" s="83"/>
      <c r="J41" s="76"/>
      <c r="K41" s="77"/>
      <c r="L41" s="77"/>
      <c r="M41" s="69">
        <f t="shared" si="1"/>
        <v>0</v>
      </c>
      <c r="N41" s="70"/>
    </row>
    <row r="42" spans="2:14" x14ac:dyDescent="0.3">
      <c r="B42" s="68" t="s">
        <v>797</v>
      </c>
      <c r="C42" s="340"/>
      <c r="D42" s="340"/>
      <c r="E42" s="340"/>
      <c r="F42" s="340"/>
      <c r="G42" s="340"/>
      <c r="H42" s="340"/>
      <c r="I42" s="83"/>
      <c r="J42" s="76"/>
      <c r="K42" s="77"/>
      <c r="L42" s="77"/>
      <c r="M42" s="69">
        <f t="shared" si="1"/>
        <v>0</v>
      </c>
      <c r="N42" s="70"/>
    </row>
    <row r="43" spans="2:14" x14ac:dyDescent="0.3">
      <c r="B43" s="68"/>
      <c r="N43" s="70"/>
    </row>
    <row r="44" spans="2:14" x14ac:dyDescent="0.3">
      <c r="B44" s="78" t="s">
        <v>107</v>
      </c>
      <c r="C44" s="57" t="s">
        <v>533</v>
      </c>
      <c r="N44" s="70"/>
    </row>
    <row r="45" spans="2:14" x14ac:dyDescent="0.3">
      <c r="B45" s="68" t="s">
        <v>220</v>
      </c>
      <c r="C45" s="56" t="s">
        <v>221</v>
      </c>
      <c r="J45" s="76"/>
      <c r="K45" s="77"/>
      <c r="L45" s="77"/>
      <c r="M45" s="69">
        <f t="shared" ref="M45:M52" si="2">ROUND(L45*K45,2)</f>
        <v>0</v>
      </c>
      <c r="N45" s="70"/>
    </row>
    <row r="46" spans="2:14" x14ac:dyDescent="0.3">
      <c r="B46" s="68" t="s">
        <v>222</v>
      </c>
      <c r="C46" s="56" t="s">
        <v>223</v>
      </c>
      <c r="J46" s="76"/>
      <c r="K46" s="77"/>
      <c r="L46" s="77"/>
      <c r="M46" s="69">
        <f t="shared" si="2"/>
        <v>0</v>
      </c>
      <c r="N46" s="70"/>
    </row>
    <row r="47" spans="2:14" x14ac:dyDescent="0.3">
      <c r="B47" s="68" t="s">
        <v>224</v>
      </c>
      <c r="C47" s="56" t="s">
        <v>225</v>
      </c>
      <c r="J47" s="76"/>
      <c r="K47" s="77"/>
      <c r="L47" s="77"/>
      <c r="M47" s="69">
        <f t="shared" si="2"/>
        <v>0</v>
      </c>
      <c r="N47" s="70"/>
    </row>
    <row r="48" spans="2:14" x14ac:dyDescent="0.3">
      <c r="B48" s="68" t="s">
        <v>226</v>
      </c>
      <c r="C48" s="56" t="s">
        <v>227</v>
      </c>
      <c r="J48" s="76"/>
      <c r="K48" s="77"/>
      <c r="L48" s="77"/>
      <c r="M48" s="69">
        <f t="shared" si="2"/>
        <v>0</v>
      </c>
      <c r="N48" s="70"/>
    </row>
    <row r="49" spans="2:14" x14ac:dyDescent="0.3">
      <c r="B49" s="68" t="s">
        <v>228</v>
      </c>
      <c r="C49" s="56" t="s">
        <v>229</v>
      </c>
      <c r="J49" s="76"/>
      <c r="K49" s="77"/>
      <c r="L49" s="77"/>
      <c r="M49" s="69">
        <f t="shared" si="2"/>
        <v>0</v>
      </c>
      <c r="N49" s="70"/>
    </row>
    <row r="50" spans="2:14" x14ac:dyDescent="0.3">
      <c r="B50" s="68" t="s">
        <v>230</v>
      </c>
      <c r="C50" s="340"/>
      <c r="D50" s="340"/>
      <c r="E50" s="340"/>
      <c r="F50" s="340"/>
      <c r="G50" s="340"/>
      <c r="H50" s="340"/>
      <c r="I50" s="83"/>
      <c r="J50" s="76"/>
      <c r="K50" s="77"/>
      <c r="L50" s="77"/>
      <c r="M50" s="69">
        <f t="shared" si="2"/>
        <v>0</v>
      </c>
      <c r="N50" s="70"/>
    </row>
    <row r="51" spans="2:14" x14ac:dyDescent="0.3">
      <c r="B51" s="68" t="s">
        <v>534</v>
      </c>
      <c r="C51" s="135"/>
      <c r="D51" s="135"/>
      <c r="E51" s="135"/>
      <c r="F51" s="135"/>
      <c r="G51" s="135"/>
      <c r="H51" s="135"/>
      <c r="I51" s="83"/>
      <c r="J51" s="76"/>
      <c r="K51" s="77"/>
      <c r="L51" s="77"/>
      <c r="M51" s="69">
        <f t="shared" si="2"/>
        <v>0</v>
      </c>
      <c r="N51" s="70"/>
    </row>
    <row r="52" spans="2:14" x14ac:dyDescent="0.3">
      <c r="B52" s="68" t="s">
        <v>792</v>
      </c>
      <c r="C52" s="340"/>
      <c r="D52" s="340"/>
      <c r="E52" s="340"/>
      <c r="F52" s="340"/>
      <c r="G52" s="340"/>
      <c r="H52" s="340"/>
      <c r="I52" s="83"/>
      <c r="J52" s="76"/>
      <c r="K52" s="77"/>
      <c r="L52" s="77"/>
      <c r="M52" s="69">
        <f t="shared" si="2"/>
        <v>0</v>
      </c>
      <c r="N52" s="70"/>
    </row>
    <row r="53" spans="2:14" x14ac:dyDescent="0.3">
      <c r="B53" s="68"/>
      <c r="C53" s="57"/>
      <c r="M53" s="84"/>
      <c r="N53" s="136"/>
    </row>
    <row r="54" spans="2:14" x14ac:dyDescent="0.3">
      <c r="B54" s="78" t="s">
        <v>655</v>
      </c>
      <c r="C54" s="57" t="s">
        <v>751</v>
      </c>
      <c r="N54" s="70"/>
    </row>
    <row r="55" spans="2:14" x14ac:dyDescent="0.3">
      <c r="B55" s="68" t="s">
        <v>781</v>
      </c>
      <c r="C55" s="340"/>
      <c r="D55" s="340"/>
      <c r="E55" s="340"/>
      <c r="F55" s="340"/>
      <c r="G55" s="340"/>
      <c r="H55" s="340"/>
      <c r="J55" s="76"/>
      <c r="K55" s="77"/>
      <c r="L55" s="77"/>
      <c r="M55" s="69">
        <f t="shared" ref="M55:M61" si="3">ROUND(L55*K55,2)</f>
        <v>0</v>
      </c>
      <c r="N55" s="70"/>
    </row>
    <row r="56" spans="2:14" x14ac:dyDescent="0.3">
      <c r="B56" s="68" t="s">
        <v>782</v>
      </c>
      <c r="C56" s="340"/>
      <c r="D56" s="340"/>
      <c r="E56" s="340"/>
      <c r="F56" s="340"/>
      <c r="G56" s="340"/>
      <c r="H56" s="340"/>
      <c r="J56" s="76"/>
      <c r="K56" s="77"/>
      <c r="L56" s="77"/>
      <c r="M56" s="69">
        <f t="shared" si="3"/>
        <v>0</v>
      </c>
      <c r="N56" s="70"/>
    </row>
    <row r="57" spans="2:14" x14ac:dyDescent="0.3">
      <c r="B57" s="68" t="s">
        <v>783</v>
      </c>
      <c r="C57" s="340"/>
      <c r="D57" s="340"/>
      <c r="E57" s="340"/>
      <c r="F57" s="340"/>
      <c r="G57" s="340"/>
      <c r="H57" s="340"/>
      <c r="J57" s="76"/>
      <c r="K57" s="77"/>
      <c r="L57" s="77"/>
      <c r="M57" s="69">
        <f t="shared" si="3"/>
        <v>0</v>
      </c>
      <c r="N57" s="70"/>
    </row>
    <row r="58" spans="2:14" x14ac:dyDescent="0.3">
      <c r="B58" s="68" t="s">
        <v>784</v>
      </c>
      <c r="C58" s="340"/>
      <c r="D58" s="340"/>
      <c r="E58" s="340"/>
      <c r="F58" s="340"/>
      <c r="G58" s="340"/>
      <c r="H58" s="340"/>
      <c r="J58" s="76"/>
      <c r="K58" s="77"/>
      <c r="L58" s="77"/>
      <c r="M58" s="69">
        <f t="shared" si="3"/>
        <v>0</v>
      </c>
      <c r="N58" s="70"/>
    </row>
    <row r="59" spans="2:14" x14ac:dyDescent="0.3">
      <c r="B59" s="68" t="s">
        <v>785</v>
      </c>
      <c r="C59" s="340"/>
      <c r="D59" s="340"/>
      <c r="E59" s="340"/>
      <c r="F59" s="340"/>
      <c r="G59" s="340"/>
      <c r="H59" s="340"/>
      <c r="J59" s="76"/>
      <c r="K59" s="77"/>
      <c r="L59" s="77"/>
      <c r="M59" s="69">
        <f t="shared" si="3"/>
        <v>0</v>
      </c>
      <c r="N59" s="70"/>
    </row>
    <row r="60" spans="2:14" x14ac:dyDescent="0.3">
      <c r="B60" s="68" t="s">
        <v>786</v>
      </c>
      <c r="C60" s="340"/>
      <c r="D60" s="340"/>
      <c r="E60" s="340"/>
      <c r="F60" s="340"/>
      <c r="G60" s="340"/>
      <c r="H60" s="340"/>
      <c r="I60" s="83"/>
      <c r="J60" s="76"/>
      <c r="K60" s="77"/>
      <c r="L60" s="77"/>
      <c r="M60" s="69">
        <f t="shared" si="3"/>
        <v>0</v>
      </c>
      <c r="N60" s="70"/>
    </row>
    <row r="61" spans="2:14" x14ac:dyDescent="0.3">
      <c r="B61" s="68" t="s">
        <v>787</v>
      </c>
      <c r="C61" s="340"/>
      <c r="D61" s="340"/>
      <c r="E61" s="340"/>
      <c r="F61" s="340"/>
      <c r="G61" s="340"/>
      <c r="H61" s="340"/>
      <c r="I61" s="83"/>
      <c r="J61" s="76"/>
      <c r="K61" s="77"/>
      <c r="L61" s="77"/>
      <c r="M61" s="69">
        <f t="shared" si="3"/>
        <v>0</v>
      </c>
      <c r="N61" s="70"/>
    </row>
    <row r="62" spans="2:14" x14ac:dyDescent="0.3">
      <c r="B62" s="71"/>
      <c r="C62" s="72" t="s">
        <v>529</v>
      </c>
      <c r="D62" s="73"/>
      <c r="E62" s="73"/>
      <c r="F62" s="73"/>
      <c r="G62" s="73"/>
      <c r="H62" s="73"/>
      <c r="I62" s="73"/>
      <c r="J62" s="74"/>
      <c r="K62" s="74"/>
      <c r="L62" s="74"/>
      <c r="M62" s="75">
        <f>SUM(M33:M61)</f>
        <v>0</v>
      </c>
      <c r="N62" s="133">
        <f>IF($M$430=0,0,M62/$M$430)</f>
        <v>0</v>
      </c>
    </row>
    <row r="64" spans="2:14" x14ac:dyDescent="0.3">
      <c r="B64" s="62">
        <v>3</v>
      </c>
      <c r="C64" s="63" t="s">
        <v>109</v>
      </c>
      <c r="D64" s="64"/>
      <c r="E64" s="64"/>
      <c r="F64" s="64"/>
      <c r="G64" s="64"/>
      <c r="H64" s="64"/>
      <c r="I64" s="64"/>
      <c r="J64" s="65"/>
      <c r="K64" s="65"/>
      <c r="L64" s="65"/>
      <c r="M64" s="65"/>
      <c r="N64" s="67"/>
    </row>
    <row r="65" spans="2:14" x14ac:dyDescent="0.3">
      <c r="B65" s="68" t="s">
        <v>231</v>
      </c>
      <c r="C65" s="56" t="s">
        <v>232</v>
      </c>
      <c r="D65" s="55"/>
      <c r="J65" s="76"/>
      <c r="K65" s="77"/>
      <c r="L65" s="77"/>
      <c r="M65" s="69">
        <f>ROUND(L65*K65,2)</f>
        <v>0</v>
      </c>
      <c r="N65" s="70"/>
    </row>
    <row r="66" spans="2:14" x14ac:dyDescent="0.3">
      <c r="B66" s="68" t="s">
        <v>233</v>
      </c>
      <c r="C66" s="56" t="s">
        <v>234</v>
      </c>
      <c r="D66" s="55"/>
      <c r="J66" s="76"/>
      <c r="K66" s="77"/>
      <c r="L66" s="77"/>
      <c r="M66" s="69">
        <f>ROUND(L66*K66,2)</f>
        <v>0</v>
      </c>
      <c r="N66" s="70"/>
    </row>
    <row r="67" spans="2:14" x14ac:dyDescent="0.3">
      <c r="B67" s="68" t="s">
        <v>235</v>
      </c>
      <c r="C67" s="340"/>
      <c r="D67" s="340"/>
      <c r="E67" s="340"/>
      <c r="F67" s="340"/>
      <c r="G67" s="340"/>
      <c r="H67" s="340"/>
      <c r="I67" s="83"/>
      <c r="J67" s="76"/>
      <c r="K67" s="77"/>
      <c r="L67" s="77"/>
      <c r="M67" s="69">
        <f>ROUND(L67*K67,2)</f>
        <v>0</v>
      </c>
      <c r="N67" s="70"/>
    </row>
    <row r="68" spans="2:14" x14ac:dyDescent="0.3">
      <c r="B68" s="68" t="s">
        <v>236</v>
      </c>
      <c r="C68" s="340"/>
      <c r="D68" s="340"/>
      <c r="E68" s="340"/>
      <c r="F68" s="340"/>
      <c r="G68" s="340"/>
      <c r="H68" s="340"/>
      <c r="I68" s="83"/>
      <c r="J68" s="76"/>
      <c r="K68" s="77"/>
      <c r="L68" s="77"/>
      <c r="M68" s="69">
        <f>ROUND(L68*K68,2)</f>
        <v>0</v>
      </c>
      <c r="N68" s="70"/>
    </row>
    <row r="69" spans="2:14" x14ac:dyDescent="0.3">
      <c r="B69" s="68" t="s">
        <v>237</v>
      </c>
      <c r="C69" s="340"/>
      <c r="D69" s="340"/>
      <c r="E69" s="340"/>
      <c r="F69" s="340"/>
      <c r="G69" s="340"/>
      <c r="H69" s="340"/>
      <c r="I69" s="83"/>
      <c r="J69" s="76"/>
      <c r="K69" s="77"/>
      <c r="L69" s="77"/>
      <c r="M69" s="69">
        <f>ROUND(L69*K69,2)</f>
        <v>0</v>
      </c>
      <c r="N69" s="70"/>
    </row>
    <row r="70" spans="2:14" x14ac:dyDescent="0.3">
      <c r="B70" s="71"/>
      <c r="C70" s="72" t="s">
        <v>529</v>
      </c>
      <c r="D70" s="73"/>
      <c r="E70" s="73"/>
      <c r="F70" s="73"/>
      <c r="G70" s="73"/>
      <c r="H70" s="73"/>
      <c r="I70" s="73"/>
      <c r="J70" s="74"/>
      <c r="K70" s="74"/>
      <c r="L70" s="74"/>
      <c r="M70" s="75">
        <f>SUM(M64:M69)</f>
        <v>0</v>
      </c>
      <c r="N70" s="133">
        <f>IF($M$430=0,0,M70/$M$430)</f>
        <v>0</v>
      </c>
    </row>
    <row r="72" spans="2:14" x14ac:dyDescent="0.3">
      <c r="B72" s="62">
        <v>4</v>
      </c>
      <c r="C72" s="63" t="s">
        <v>110</v>
      </c>
      <c r="D72" s="64"/>
      <c r="E72" s="64"/>
      <c r="F72" s="64"/>
      <c r="G72" s="64"/>
      <c r="H72" s="64"/>
      <c r="I72" s="64"/>
      <c r="J72" s="65"/>
      <c r="K72" s="65"/>
      <c r="L72" s="65"/>
      <c r="M72" s="65"/>
      <c r="N72" s="67"/>
    </row>
    <row r="73" spans="2:14" x14ac:dyDescent="0.3">
      <c r="B73" s="78" t="s">
        <v>111</v>
      </c>
      <c r="C73" s="57" t="s">
        <v>535</v>
      </c>
      <c r="N73" s="70"/>
    </row>
    <row r="74" spans="2:14" x14ac:dyDescent="0.3">
      <c r="B74" s="68" t="s">
        <v>238</v>
      </c>
      <c r="C74" s="56" t="s">
        <v>239</v>
      </c>
      <c r="J74" s="76"/>
      <c r="K74" s="77"/>
      <c r="L74" s="77"/>
      <c r="M74" s="69">
        <f t="shared" ref="M74:M81" si="4">ROUND(L74*K74,2)</f>
        <v>0</v>
      </c>
      <c r="N74" s="70"/>
    </row>
    <row r="75" spans="2:14" x14ac:dyDescent="0.3">
      <c r="B75" s="68" t="s">
        <v>240</v>
      </c>
      <c r="C75" s="56" t="s">
        <v>241</v>
      </c>
      <c r="J75" s="76"/>
      <c r="K75" s="77"/>
      <c r="L75" s="77"/>
      <c r="M75" s="69">
        <f t="shared" si="4"/>
        <v>0</v>
      </c>
      <c r="N75" s="70"/>
    </row>
    <row r="76" spans="2:14" x14ac:dyDescent="0.3">
      <c r="B76" s="68" t="s">
        <v>242</v>
      </c>
      <c r="C76" s="56" t="s">
        <v>243</v>
      </c>
      <c r="J76" s="76"/>
      <c r="K76" s="77"/>
      <c r="L76" s="77"/>
      <c r="M76" s="69">
        <f t="shared" si="4"/>
        <v>0</v>
      </c>
      <c r="N76" s="70"/>
    </row>
    <row r="77" spans="2:14" x14ac:dyDescent="0.3">
      <c r="B77" s="68" t="s">
        <v>244</v>
      </c>
      <c r="C77" s="56" t="s">
        <v>245</v>
      </c>
      <c r="J77" s="76"/>
      <c r="K77" s="77"/>
      <c r="L77" s="77"/>
      <c r="M77" s="69">
        <f t="shared" si="4"/>
        <v>0</v>
      </c>
      <c r="N77" s="70"/>
    </row>
    <row r="78" spans="2:14" x14ac:dyDescent="0.3">
      <c r="B78" s="68" t="s">
        <v>246</v>
      </c>
      <c r="C78" s="56" t="s">
        <v>247</v>
      </c>
      <c r="J78" s="76"/>
      <c r="K78" s="77"/>
      <c r="L78" s="77"/>
      <c r="M78" s="69">
        <f t="shared" si="4"/>
        <v>0</v>
      </c>
      <c r="N78" s="70"/>
    </row>
    <row r="79" spans="2:14" x14ac:dyDescent="0.3">
      <c r="B79" s="68" t="s">
        <v>248</v>
      </c>
      <c r="C79" s="56" t="s">
        <v>249</v>
      </c>
      <c r="J79" s="76"/>
      <c r="K79" s="77"/>
      <c r="L79" s="77"/>
      <c r="M79" s="69">
        <f t="shared" si="4"/>
        <v>0</v>
      </c>
      <c r="N79" s="70"/>
    </row>
    <row r="80" spans="2:14" x14ac:dyDescent="0.3">
      <c r="B80" s="68" t="s">
        <v>250</v>
      </c>
      <c r="C80" s="340"/>
      <c r="D80" s="340"/>
      <c r="E80" s="340"/>
      <c r="F80" s="340"/>
      <c r="G80" s="340"/>
      <c r="H80" s="340"/>
      <c r="I80" s="83"/>
      <c r="J80" s="76"/>
      <c r="K80" s="77"/>
      <c r="L80" s="77"/>
      <c r="M80" s="69">
        <f t="shared" si="4"/>
        <v>0</v>
      </c>
      <c r="N80" s="70"/>
    </row>
    <row r="81" spans="2:14" x14ac:dyDescent="0.3">
      <c r="B81" s="68" t="s">
        <v>798</v>
      </c>
      <c r="C81" s="340"/>
      <c r="D81" s="340"/>
      <c r="E81" s="340"/>
      <c r="F81" s="340"/>
      <c r="G81" s="340"/>
      <c r="H81" s="340"/>
      <c r="I81" s="83"/>
      <c r="J81" s="76"/>
      <c r="K81" s="77"/>
      <c r="L81" s="77"/>
      <c r="M81" s="69">
        <f t="shared" si="4"/>
        <v>0</v>
      </c>
      <c r="N81" s="70"/>
    </row>
    <row r="82" spans="2:14" x14ac:dyDescent="0.3">
      <c r="B82" s="68"/>
      <c r="N82" s="70"/>
    </row>
    <row r="83" spans="2:14" x14ac:dyDescent="0.3">
      <c r="B83" s="78" t="s">
        <v>113</v>
      </c>
      <c r="C83" s="57" t="s">
        <v>536</v>
      </c>
      <c r="N83" s="70"/>
    </row>
    <row r="84" spans="2:14" x14ac:dyDescent="0.3">
      <c r="B84" s="68" t="s">
        <v>537</v>
      </c>
      <c r="C84" s="56" t="s">
        <v>251</v>
      </c>
      <c r="J84" s="76"/>
      <c r="K84" s="77"/>
      <c r="L84" s="77"/>
      <c r="M84" s="69">
        <f t="shared" ref="M84:M90" si="5">ROUND(L84*K84,2)</f>
        <v>0</v>
      </c>
      <c r="N84" s="70"/>
    </row>
    <row r="85" spans="2:14" x14ac:dyDescent="0.3">
      <c r="B85" s="68" t="s">
        <v>538</v>
      </c>
      <c r="C85" s="56" t="s">
        <v>252</v>
      </c>
      <c r="J85" s="76"/>
      <c r="K85" s="77"/>
      <c r="L85" s="77"/>
      <c r="M85" s="69">
        <f t="shared" si="5"/>
        <v>0</v>
      </c>
      <c r="N85" s="70"/>
    </row>
    <row r="86" spans="2:14" x14ac:dyDescent="0.3">
      <c r="B86" s="68" t="s">
        <v>539</v>
      </c>
      <c r="C86" s="56" t="s">
        <v>253</v>
      </c>
      <c r="J86" s="76"/>
      <c r="K86" s="77"/>
      <c r="L86" s="77"/>
      <c r="M86" s="69">
        <f t="shared" si="5"/>
        <v>0</v>
      </c>
      <c r="N86" s="70"/>
    </row>
    <row r="87" spans="2:14" x14ac:dyDescent="0.3">
      <c r="B87" s="68" t="s">
        <v>540</v>
      </c>
      <c r="C87" s="56" t="s">
        <v>254</v>
      </c>
      <c r="J87" s="76"/>
      <c r="K87" s="77"/>
      <c r="L87" s="77"/>
      <c r="M87" s="69">
        <f t="shared" si="5"/>
        <v>0</v>
      </c>
      <c r="N87" s="70"/>
    </row>
    <row r="88" spans="2:14" x14ac:dyDescent="0.3">
      <c r="B88" s="68" t="s">
        <v>541</v>
      </c>
      <c r="C88" s="56" t="s">
        <v>255</v>
      </c>
      <c r="J88" s="76"/>
      <c r="K88" s="77"/>
      <c r="L88" s="77"/>
      <c r="M88" s="69">
        <f t="shared" si="5"/>
        <v>0</v>
      </c>
      <c r="N88" s="70"/>
    </row>
    <row r="89" spans="2:14" x14ac:dyDescent="0.3">
      <c r="B89" s="68" t="s">
        <v>542</v>
      </c>
      <c r="C89" s="340"/>
      <c r="D89" s="340"/>
      <c r="E89" s="340"/>
      <c r="F89" s="340"/>
      <c r="G89" s="340"/>
      <c r="H89" s="340"/>
      <c r="I89" s="83"/>
      <c r="J89" s="76"/>
      <c r="K89" s="77"/>
      <c r="L89" s="77"/>
      <c r="M89" s="69">
        <f t="shared" si="5"/>
        <v>0</v>
      </c>
      <c r="N89" s="70"/>
    </row>
    <row r="90" spans="2:14" x14ac:dyDescent="0.3">
      <c r="B90" s="68" t="s">
        <v>799</v>
      </c>
      <c r="C90" s="340"/>
      <c r="D90" s="340"/>
      <c r="E90" s="340"/>
      <c r="F90" s="340"/>
      <c r="G90" s="340"/>
      <c r="H90" s="340"/>
      <c r="I90" s="83"/>
      <c r="J90" s="76"/>
      <c r="K90" s="77"/>
      <c r="L90" s="77"/>
      <c r="M90" s="69">
        <f t="shared" si="5"/>
        <v>0</v>
      </c>
      <c r="N90" s="70"/>
    </row>
    <row r="91" spans="2:14" x14ac:dyDescent="0.3">
      <c r="B91" s="68"/>
      <c r="N91" s="70"/>
    </row>
    <row r="92" spans="2:14" x14ac:dyDescent="0.3">
      <c r="B92" s="78" t="s">
        <v>115</v>
      </c>
      <c r="C92" s="57" t="s">
        <v>543</v>
      </c>
      <c r="N92" s="70"/>
    </row>
    <row r="93" spans="2:14" x14ac:dyDescent="0.3">
      <c r="B93" s="68" t="s">
        <v>258</v>
      </c>
      <c r="C93" s="56" t="s">
        <v>251</v>
      </c>
      <c r="J93" s="76"/>
      <c r="K93" s="77"/>
      <c r="L93" s="77"/>
      <c r="M93" s="69">
        <f t="shared" ref="M93:M102" si="6">ROUND(L93*K93,2)</f>
        <v>0</v>
      </c>
      <c r="N93" s="70"/>
    </row>
    <row r="94" spans="2:14" x14ac:dyDescent="0.3">
      <c r="B94" s="68" t="s">
        <v>260</v>
      </c>
      <c r="C94" s="56" t="s">
        <v>252</v>
      </c>
      <c r="J94" s="76"/>
      <c r="K94" s="77"/>
      <c r="L94" s="77"/>
      <c r="M94" s="69">
        <f t="shared" si="6"/>
        <v>0</v>
      </c>
      <c r="N94" s="70"/>
    </row>
    <row r="95" spans="2:14" x14ac:dyDescent="0.3">
      <c r="B95" s="68" t="s">
        <v>262</v>
      </c>
      <c r="C95" s="56" t="s">
        <v>253</v>
      </c>
      <c r="J95" s="76"/>
      <c r="K95" s="77"/>
      <c r="L95" s="77"/>
      <c r="M95" s="69">
        <f t="shared" si="6"/>
        <v>0</v>
      </c>
      <c r="N95" s="70"/>
    </row>
    <row r="96" spans="2:14" x14ac:dyDescent="0.3">
      <c r="B96" s="68" t="s">
        <v>264</v>
      </c>
      <c r="C96" s="56" t="s">
        <v>254</v>
      </c>
      <c r="J96" s="76"/>
      <c r="K96" s="77"/>
      <c r="L96" s="77"/>
      <c r="M96" s="69">
        <f t="shared" si="6"/>
        <v>0</v>
      </c>
      <c r="N96" s="70"/>
    </row>
    <row r="97" spans="2:14" x14ac:dyDescent="0.3">
      <c r="B97" s="68" t="s">
        <v>266</v>
      </c>
      <c r="C97" s="56" t="s">
        <v>255</v>
      </c>
      <c r="J97" s="76"/>
      <c r="K97" s="77"/>
      <c r="L97" s="77"/>
      <c r="M97" s="69">
        <f t="shared" si="6"/>
        <v>0</v>
      </c>
      <c r="N97" s="70"/>
    </row>
    <row r="98" spans="2:14" x14ac:dyDescent="0.3">
      <c r="B98" s="68" t="s">
        <v>268</v>
      </c>
      <c r="C98" s="56" t="s">
        <v>256</v>
      </c>
      <c r="J98" s="76"/>
      <c r="K98" s="77"/>
      <c r="L98" s="77"/>
      <c r="M98" s="69">
        <f t="shared" si="6"/>
        <v>0</v>
      </c>
      <c r="N98" s="70"/>
    </row>
    <row r="99" spans="2:14" x14ac:dyDescent="0.3">
      <c r="B99" s="68" t="s">
        <v>270</v>
      </c>
      <c r="C99" s="56" t="s">
        <v>257</v>
      </c>
      <c r="J99" s="76"/>
      <c r="K99" s="77"/>
      <c r="L99" s="77"/>
      <c r="M99" s="69">
        <f t="shared" si="6"/>
        <v>0</v>
      </c>
      <c r="N99" s="70"/>
    </row>
    <row r="100" spans="2:14" x14ac:dyDescent="0.3">
      <c r="B100" s="68" t="s">
        <v>544</v>
      </c>
      <c r="C100" s="56" t="s">
        <v>546</v>
      </c>
      <c r="J100" s="76"/>
      <c r="K100" s="77"/>
      <c r="L100" s="77"/>
      <c r="M100" s="69">
        <f t="shared" si="6"/>
        <v>0</v>
      </c>
      <c r="N100" s="70"/>
    </row>
    <row r="101" spans="2:14" x14ac:dyDescent="0.3">
      <c r="B101" s="68" t="s">
        <v>545</v>
      </c>
      <c r="C101" s="340"/>
      <c r="D101" s="340"/>
      <c r="E101" s="340"/>
      <c r="F101" s="340"/>
      <c r="G101" s="340"/>
      <c r="H101" s="340"/>
      <c r="I101" s="83"/>
      <c r="J101" s="76"/>
      <c r="K101" s="77"/>
      <c r="L101" s="77"/>
      <c r="M101" s="69">
        <f t="shared" si="6"/>
        <v>0</v>
      </c>
      <c r="N101" s="70"/>
    </row>
    <row r="102" spans="2:14" x14ac:dyDescent="0.3">
      <c r="B102" s="68" t="s">
        <v>800</v>
      </c>
      <c r="C102" s="340"/>
      <c r="D102" s="340"/>
      <c r="E102" s="340"/>
      <c r="F102" s="340"/>
      <c r="G102" s="340"/>
      <c r="H102" s="340"/>
      <c r="I102" s="83"/>
      <c r="J102" s="76"/>
      <c r="K102" s="77"/>
      <c r="L102" s="77"/>
      <c r="M102" s="69">
        <f t="shared" si="6"/>
        <v>0</v>
      </c>
      <c r="N102" s="70"/>
    </row>
    <row r="103" spans="2:14" x14ac:dyDescent="0.3">
      <c r="B103" s="68"/>
      <c r="N103" s="70"/>
    </row>
    <row r="104" spans="2:14" x14ac:dyDescent="0.3">
      <c r="B104" s="78" t="s">
        <v>117</v>
      </c>
      <c r="C104" s="57" t="s">
        <v>547</v>
      </c>
      <c r="N104" s="70"/>
    </row>
    <row r="105" spans="2:14" x14ac:dyDescent="0.3">
      <c r="B105" s="68" t="s">
        <v>271</v>
      </c>
      <c r="C105" s="56" t="s">
        <v>259</v>
      </c>
      <c r="J105" s="76"/>
      <c r="K105" s="77"/>
      <c r="L105" s="77"/>
      <c r="M105" s="69">
        <f t="shared" ref="M105:M113" si="7">ROUND(L105*K105,2)</f>
        <v>0</v>
      </c>
      <c r="N105" s="70"/>
    </row>
    <row r="106" spans="2:14" x14ac:dyDescent="0.3">
      <c r="B106" s="68" t="s">
        <v>273</v>
      </c>
      <c r="C106" s="56" t="s">
        <v>261</v>
      </c>
      <c r="J106" s="76"/>
      <c r="K106" s="77"/>
      <c r="L106" s="77"/>
      <c r="M106" s="69">
        <f t="shared" si="7"/>
        <v>0</v>
      </c>
      <c r="N106" s="70"/>
    </row>
    <row r="107" spans="2:14" x14ac:dyDescent="0.3">
      <c r="B107" s="68" t="s">
        <v>275</v>
      </c>
      <c r="C107" s="56" t="s">
        <v>263</v>
      </c>
      <c r="J107" s="76"/>
      <c r="K107" s="77"/>
      <c r="L107" s="77"/>
      <c r="M107" s="69">
        <f t="shared" si="7"/>
        <v>0</v>
      </c>
      <c r="N107" s="70"/>
    </row>
    <row r="108" spans="2:14" x14ac:dyDescent="0.3">
      <c r="B108" s="68" t="s">
        <v>277</v>
      </c>
      <c r="C108" s="56" t="s">
        <v>265</v>
      </c>
      <c r="J108" s="76"/>
      <c r="K108" s="77"/>
      <c r="L108" s="77"/>
      <c r="M108" s="69">
        <f t="shared" si="7"/>
        <v>0</v>
      </c>
      <c r="N108" s="70"/>
    </row>
    <row r="109" spans="2:14" x14ac:dyDescent="0.3">
      <c r="B109" s="68" t="s">
        <v>279</v>
      </c>
      <c r="C109" s="56" t="s">
        <v>267</v>
      </c>
      <c r="J109" s="76"/>
      <c r="K109" s="77"/>
      <c r="L109" s="77"/>
      <c r="M109" s="69">
        <f t="shared" si="7"/>
        <v>0</v>
      </c>
      <c r="N109" s="70"/>
    </row>
    <row r="110" spans="2:14" x14ac:dyDescent="0.3">
      <c r="B110" s="68" t="s">
        <v>281</v>
      </c>
      <c r="C110" s="56" t="s">
        <v>269</v>
      </c>
      <c r="J110" s="76"/>
      <c r="K110" s="77"/>
      <c r="L110" s="77"/>
      <c r="M110" s="69">
        <f t="shared" si="7"/>
        <v>0</v>
      </c>
      <c r="N110" s="70"/>
    </row>
    <row r="111" spans="2:14" x14ac:dyDescent="0.3">
      <c r="B111" s="68" t="s">
        <v>548</v>
      </c>
      <c r="C111" s="56" t="s">
        <v>251</v>
      </c>
      <c r="J111" s="76"/>
      <c r="K111" s="77"/>
      <c r="L111" s="77"/>
      <c r="M111" s="69">
        <f t="shared" si="7"/>
        <v>0</v>
      </c>
      <c r="N111" s="70"/>
    </row>
    <row r="112" spans="2:14" x14ac:dyDescent="0.3">
      <c r="B112" s="68" t="s">
        <v>549</v>
      </c>
      <c r="C112" s="340"/>
      <c r="D112" s="340"/>
      <c r="E112" s="340"/>
      <c r="F112" s="340"/>
      <c r="G112" s="340"/>
      <c r="H112" s="340"/>
      <c r="I112" s="83"/>
      <c r="J112" s="76"/>
      <c r="K112" s="77"/>
      <c r="L112" s="77"/>
      <c r="M112" s="69">
        <f t="shared" si="7"/>
        <v>0</v>
      </c>
      <c r="N112" s="70"/>
    </row>
    <row r="113" spans="2:14" x14ac:dyDescent="0.3">
      <c r="B113" s="68" t="s">
        <v>801</v>
      </c>
      <c r="C113" s="340"/>
      <c r="D113" s="340"/>
      <c r="E113" s="340"/>
      <c r="F113" s="340"/>
      <c r="G113" s="340"/>
      <c r="H113" s="340"/>
      <c r="I113" s="83"/>
      <c r="J113" s="76"/>
      <c r="K113" s="77"/>
      <c r="L113" s="77"/>
      <c r="M113" s="69">
        <f t="shared" si="7"/>
        <v>0</v>
      </c>
      <c r="N113" s="70"/>
    </row>
    <row r="114" spans="2:14" x14ac:dyDescent="0.3">
      <c r="B114" s="68"/>
      <c r="N114" s="70"/>
    </row>
    <row r="115" spans="2:14" x14ac:dyDescent="0.3">
      <c r="B115" s="78" t="s">
        <v>550</v>
      </c>
      <c r="C115" s="57" t="s">
        <v>551</v>
      </c>
      <c r="N115" s="70"/>
    </row>
    <row r="116" spans="2:14" x14ac:dyDescent="0.3">
      <c r="B116" s="68" t="s">
        <v>283</v>
      </c>
      <c r="C116" s="56" t="s">
        <v>272</v>
      </c>
      <c r="J116" s="76"/>
      <c r="K116" s="77"/>
      <c r="L116" s="77"/>
      <c r="M116" s="69">
        <f t="shared" ref="M116:M123" si="8">ROUND(L116*K116,2)</f>
        <v>0</v>
      </c>
      <c r="N116" s="70"/>
    </row>
    <row r="117" spans="2:14" x14ac:dyDescent="0.3">
      <c r="B117" s="68" t="s">
        <v>285</v>
      </c>
      <c r="C117" s="56" t="s">
        <v>274</v>
      </c>
      <c r="J117" s="76"/>
      <c r="K117" s="77"/>
      <c r="L117" s="77"/>
      <c r="M117" s="69">
        <f t="shared" si="8"/>
        <v>0</v>
      </c>
      <c r="N117" s="70"/>
    </row>
    <row r="118" spans="2:14" x14ac:dyDescent="0.3">
      <c r="B118" s="68" t="s">
        <v>287</v>
      </c>
      <c r="C118" s="56" t="s">
        <v>276</v>
      </c>
      <c r="J118" s="76"/>
      <c r="K118" s="77"/>
      <c r="L118" s="77"/>
      <c r="M118" s="69">
        <f t="shared" si="8"/>
        <v>0</v>
      </c>
      <c r="N118" s="70"/>
    </row>
    <row r="119" spans="2:14" x14ac:dyDescent="0.3">
      <c r="B119" s="68" t="s">
        <v>289</v>
      </c>
      <c r="C119" s="56" t="s">
        <v>278</v>
      </c>
      <c r="J119" s="76"/>
      <c r="K119" s="77"/>
      <c r="L119" s="77"/>
      <c r="M119" s="69">
        <f t="shared" si="8"/>
        <v>0</v>
      </c>
      <c r="N119" s="70"/>
    </row>
    <row r="120" spans="2:14" x14ac:dyDescent="0.3">
      <c r="B120" s="68" t="s">
        <v>291</v>
      </c>
      <c r="C120" s="56" t="s">
        <v>280</v>
      </c>
      <c r="J120" s="76"/>
      <c r="K120" s="77"/>
      <c r="L120" s="77"/>
      <c r="M120" s="69">
        <f t="shared" si="8"/>
        <v>0</v>
      </c>
      <c r="N120" s="70"/>
    </row>
    <row r="121" spans="2:14" x14ac:dyDescent="0.3">
      <c r="B121" s="68" t="s">
        <v>552</v>
      </c>
      <c r="C121" s="56" t="s">
        <v>282</v>
      </c>
      <c r="J121" s="76"/>
      <c r="K121" s="77"/>
      <c r="L121" s="77"/>
      <c r="M121" s="69">
        <f t="shared" si="8"/>
        <v>0</v>
      </c>
      <c r="N121" s="70"/>
    </row>
    <row r="122" spans="2:14" x14ac:dyDescent="0.3">
      <c r="B122" s="68" t="s">
        <v>553</v>
      </c>
      <c r="C122" s="340"/>
      <c r="D122" s="340"/>
      <c r="E122" s="340"/>
      <c r="F122" s="340"/>
      <c r="G122" s="340"/>
      <c r="H122" s="340"/>
      <c r="I122" s="83"/>
      <c r="J122" s="76"/>
      <c r="K122" s="77"/>
      <c r="L122" s="77"/>
      <c r="M122" s="69">
        <f t="shared" si="8"/>
        <v>0</v>
      </c>
      <c r="N122" s="70"/>
    </row>
    <row r="123" spans="2:14" x14ac:dyDescent="0.3">
      <c r="B123" s="68" t="s">
        <v>802</v>
      </c>
      <c r="C123" s="340"/>
      <c r="D123" s="340"/>
      <c r="E123" s="340"/>
      <c r="F123" s="340"/>
      <c r="G123" s="340"/>
      <c r="H123" s="340"/>
      <c r="I123" s="83"/>
      <c r="J123" s="76"/>
      <c r="K123" s="77"/>
      <c r="L123" s="77"/>
      <c r="M123" s="69">
        <f t="shared" si="8"/>
        <v>0</v>
      </c>
      <c r="N123" s="70"/>
    </row>
    <row r="124" spans="2:14" x14ac:dyDescent="0.3">
      <c r="B124" s="68"/>
      <c r="N124" s="70"/>
    </row>
    <row r="125" spans="2:14" x14ac:dyDescent="0.3">
      <c r="B125" s="78" t="s">
        <v>554</v>
      </c>
      <c r="C125" s="57" t="s">
        <v>555</v>
      </c>
      <c r="N125" s="70"/>
    </row>
    <row r="126" spans="2:14" x14ac:dyDescent="0.3">
      <c r="B126" s="68" t="s">
        <v>556</v>
      </c>
      <c r="C126" s="56" t="s">
        <v>284</v>
      </c>
      <c r="J126" s="76"/>
      <c r="K126" s="77"/>
      <c r="L126" s="77"/>
      <c r="M126" s="69">
        <f t="shared" ref="M126:M132" si="9">ROUND(L126*K126,2)</f>
        <v>0</v>
      </c>
      <c r="N126" s="70"/>
    </row>
    <row r="127" spans="2:14" x14ac:dyDescent="0.3">
      <c r="B127" s="68" t="s">
        <v>557</v>
      </c>
      <c r="C127" s="56" t="s">
        <v>286</v>
      </c>
      <c r="J127" s="76"/>
      <c r="K127" s="77"/>
      <c r="L127" s="77"/>
      <c r="M127" s="69">
        <f t="shared" si="9"/>
        <v>0</v>
      </c>
      <c r="N127" s="70"/>
    </row>
    <row r="128" spans="2:14" x14ac:dyDescent="0.3">
      <c r="B128" s="68" t="s">
        <v>558</v>
      </c>
      <c r="C128" s="56" t="s">
        <v>288</v>
      </c>
      <c r="J128" s="76"/>
      <c r="K128" s="77"/>
      <c r="L128" s="77"/>
      <c r="M128" s="69">
        <f t="shared" si="9"/>
        <v>0</v>
      </c>
      <c r="N128" s="70"/>
    </row>
    <row r="129" spans="2:14" x14ac:dyDescent="0.3">
      <c r="B129" s="68" t="s">
        <v>559</v>
      </c>
      <c r="C129" s="56" t="s">
        <v>290</v>
      </c>
      <c r="J129" s="76"/>
      <c r="K129" s="77"/>
      <c r="L129" s="77"/>
      <c r="M129" s="69">
        <f t="shared" si="9"/>
        <v>0</v>
      </c>
      <c r="N129" s="70"/>
    </row>
    <row r="130" spans="2:14" x14ac:dyDescent="0.3">
      <c r="B130" s="68" t="s">
        <v>560</v>
      </c>
      <c r="C130" s="56" t="s">
        <v>292</v>
      </c>
      <c r="J130" s="76"/>
      <c r="K130" s="77"/>
      <c r="L130" s="77"/>
      <c r="M130" s="69">
        <f t="shared" si="9"/>
        <v>0</v>
      </c>
      <c r="N130" s="70"/>
    </row>
    <row r="131" spans="2:14" x14ac:dyDescent="0.3">
      <c r="B131" s="68" t="s">
        <v>561</v>
      </c>
      <c r="C131" s="340"/>
      <c r="D131" s="340"/>
      <c r="E131" s="340"/>
      <c r="F131" s="340"/>
      <c r="G131" s="340"/>
      <c r="H131" s="340"/>
      <c r="I131" s="83"/>
      <c r="J131" s="76"/>
      <c r="K131" s="77"/>
      <c r="L131" s="77"/>
      <c r="M131" s="69">
        <f t="shared" si="9"/>
        <v>0</v>
      </c>
      <c r="N131" s="70"/>
    </row>
    <row r="132" spans="2:14" x14ac:dyDescent="0.3">
      <c r="B132" s="68" t="s">
        <v>803</v>
      </c>
      <c r="C132" s="340"/>
      <c r="D132" s="340"/>
      <c r="E132" s="340"/>
      <c r="F132" s="340"/>
      <c r="G132" s="340"/>
      <c r="H132" s="340"/>
      <c r="I132" s="83"/>
      <c r="J132" s="76"/>
      <c r="K132" s="77"/>
      <c r="L132" s="77"/>
      <c r="M132" s="69">
        <f t="shared" si="9"/>
        <v>0</v>
      </c>
      <c r="N132" s="70"/>
    </row>
    <row r="133" spans="2:14" x14ac:dyDescent="0.3">
      <c r="B133" s="71"/>
      <c r="C133" s="72" t="s">
        <v>529</v>
      </c>
      <c r="D133" s="73"/>
      <c r="E133" s="73"/>
      <c r="F133" s="73"/>
      <c r="G133" s="73"/>
      <c r="H133" s="73"/>
      <c r="I133" s="73"/>
      <c r="J133" s="74"/>
      <c r="K133" s="74"/>
      <c r="L133" s="74"/>
      <c r="M133" s="75">
        <f>SUM(M72:M132)</f>
        <v>0</v>
      </c>
      <c r="N133" s="133">
        <f>IF($M$430=0,0,M133/$M$430)</f>
        <v>0</v>
      </c>
    </row>
    <row r="135" spans="2:14" x14ac:dyDescent="0.3">
      <c r="B135" s="62">
        <v>5</v>
      </c>
      <c r="C135" s="63" t="s">
        <v>562</v>
      </c>
      <c r="D135" s="64"/>
      <c r="E135" s="64"/>
      <c r="F135" s="64"/>
      <c r="G135" s="64"/>
      <c r="H135" s="64"/>
      <c r="I135" s="64"/>
      <c r="J135" s="65"/>
      <c r="K135" s="65"/>
      <c r="L135" s="65"/>
      <c r="M135" s="65"/>
      <c r="N135" s="67"/>
    </row>
    <row r="136" spans="2:14" x14ac:dyDescent="0.3">
      <c r="B136" s="78" t="s">
        <v>119</v>
      </c>
      <c r="C136" s="57" t="s">
        <v>563</v>
      </c>
      <c r="N136" s="70"/>
    </row>
    <row r="137" spans="2:14" x14ac:dyDescent="0.3">
      <c r="B137" s="68" t="s">
        <v>293</v>
      </c>
      <c r="C137" s="56" t="s">
        <v>294</v>
      </c>
      <c r="J137" s="76"/>
      <c r="K137" s="77"/>
      <c r="L137" s="77"/>
      <c r="M137" s="69">
        <f>ROUND(L137*K137,2)</f>
        <v>0</v>
      </c>
      <c r="N137" s="70"/>
    </row>
    <row r="138" spans="2:14" x14ac:dyDescent="0.3">
      <c r="B138" s="68" t="s">
        <v>295</v>
      </c>
      <c r="C138" s="56" t="s">
        <v>296</v>
      </c>
      <c r="J138" s="76"/>
      <c r="K138" s="77"/>
      <c r="L138" s="77"/>
      <c r="M138" s="69">
        <f>ROUND(L138*K138,2)</f>
        <v>0</v>
      </c>
      <c r="N138" s="70"/>
    </row>
    <row r="139" spans="2:14" x14ac:dyDescent="0.3">
      <c r="B139" s="68" t="s">
        <v>297</v>
      </c>
      <c r="C139" s="56" t="s">
        <v>298</v>
      </c>
      <c r="J139" s="76"/>
      <c r="K139" s="77"/>
      <c r="L139" s="77"/>
      <c r="M139" s="69">
        <f>ROUND(L139*K139,2)</f>
        <v>0</v>
      </c>
      <c r="N139" s="70"/>
    </row>
    <row r="140" spans="2:14" x14ac:dyDescent="0.3">
      <c r="B140" s="68" t="s">
        <v>299</v>
      </c>
      <c r="C140" s="340"/>
      <c r="D140" s="340"/>
      <c r="E140" s="340"/>
      <c r="F140" s="340"/>
      <c r="G140" s="340"/>
      <c r="H140" s="340"/>
      <c r="I140" s="83"/>
      <c r="J140" s="76"/>
      <c r="K140" s="77"/>
      <c r="L140" s="77"/>
      <c r="M140" s="69">
        <f>ROUND(L140*K140,2)</f>
        <v>0</v>
      </c>
      <c r="N140" s="70"/>
    </row>
    <row r="141" spans="2:14" x14ac:dyDescent="0.3">
      <c r="B141" s="68" t="s">
        <v>804</v>
      </c>
      <c r="C141" s="340"/>
      <c r="D141" s="340"/>
      <c r="E141" s="340"/>
      <c r="F141" s="340"/>
      <c r="G141" s="340"/>
      <c r="H141" s="340"/>
      <c r="I141" s="83"/>
      <c r="J141" s="76"/>
      <c r="K141" s="77"/>
      <c r="L141" s="77"/>
      <c r="M141" s="69">
        <f>ROUND(L141*K141,2)</f>
        <v>0</v>
      </c>
      <c r="N141" s="70"/>
    </row>
    <row r="142" spans="2:14" x14ac:dyDescent="0.3">
      <c r="B142" s="68"/>
      <c r="N142" s="70"/>
    </row>
    <row r="143" spans="2:14" x14ac:dyDescent="0.3">
      <c r="B143" s="78" t="s">
        <v>121</v>
      </c>
      <c r="C143" s="57" t="s">
        <v>564</v>
      </c>
      <c r="N143" s="70"/>
    </row>
    <row r="144" spans="2:14" x14ac:dyDescent="0.3">
      <c r="B144" s="68" t="s">
        <v>300</v>
      </c>
      <c r="C144" s="56" t="s">
        <v>301</v>
      </c>
      <c r="J144" s="76"/>
      <c r="K144" s="77"/>
      <c r="L144" s="77"/>
      <c r="M144" s="69">
        <f t="shared" ref="M144:M153" si="10">ROUND(L144*K144,2)</f>
        <v>0</v>
      </c>
      <c r="N144" s="70"/>
    </row>
    <row r="145" spans="2:14" x14ac:dyDescent="0.3">
      <c r="B145" s="68" t="s">
        <v>302</v>
      </c>
      <c r="C145" s="56" t="s">
        <v>303</v>
      </c>
      <c r="J145" s="76"/>
      <c r="K145" s="77"/>
      <c r="L145" s="77"/>
      <c r="M145" s="69">
        <f t="shared" si="10"/>
        <v>0</v>
      </c>
      <c r="N145" s="70"/>
    </row>
    <row r="146" spans="2:14" x14ac:dyDescent="0.3">
      <c r="B146" s="68" t="s">
        <v>304</v>
      </c>
      <c r="C146" s="56" t="s">
        <v>305</v>
      </c>
      <c r="J146" s="76"/>
      <c r="K146" s="77"/>
      <c r="L146" s="77"/>
      <c r="M146" s="69">
        <f t="shared" si="10"/>
        <v>0</v>
      </c>
      <c r="N146" s="70"/>
    </row>
    <row r="147" spans="2:14" x14ac:dyDescent="0.3">
      <c r="B147" s="68" t="s">
        <v>306</v>
      </c>
      <c r="C147" s="56" t="s">
        <v>307</v>
      </c>
      <c r="J147" s="76"/>
      <c r="K147" s="77"/>
      <c r="L147" s="77"/>
      <c r="M147" s="69">
        <f t="shared" si="10"/>
        <v>0</v>
      </c>
      <c r="N147" s="70"/>
    </row>
    <row r="148" spans="2:14" x14ac:dyDescent="0.3">
      <c r="B148" s="68" t="s">
        <v>308</v>
      </c>
      <c r="C148" s="56" t="s">
        <v>309</v>
      </c>
      <c r="J148" s="76"/>
      <c r="K148" s="77"/>
      <c r="L148" s="77"/>
      <c r="M148" s="69">
        <f t="shared" si="10"/>
        <v>0</v>
      </c>
      <c r="N148" s="70"/>
    </row>
    <row r="149" spans="2:14" x14ac:dyDescent="0.3">
      <c r="B149" s="68" t="s">
        <v>310</v>
      </c>
      <c r="C149" s="56" t="s">
        <v>311</v>
      </c>
      <c r="J149" s="76"/>
      <c r="K149" s="77"/>
      <c r="L149" s="77"/>
      <c r="M149" s="69">
        <f t="shared" si="10"/>
        <v>0</v>
      </c>
      <c r="N149" s="70"/>
    </row>
    <row r="150" spans="2:14" x14ac:dyDescent="0.3">
      <c r="B150" s="68" t="s">
        <v>312</v>
      </c>
      <c r="C150" s="56" t="s">
        <v>313</v>
      </c>
      <c r="J150" s="76"/>
      <c r="K150" s="77"/>
      <c r="L150" s="77"/>
      <c r="M150" s="69">
        <f t="shared" si="10"/>
        <v>0</v>
      </c>
      <c r="N150" s="70"/>
    </row>
    <row r="151" spans="2:14" x14ac:dyDescent="0.3">
      <c r="B151" s="68" t="s">
        <v>314</v>
      </c>
      <c r="C151" s="56" t="s">
        <v>315</v>
      </c>
      <c r="J151" s="76"/>
      <c r="K151" s="77"/>
      <c r="L151" s="77"/>
      <c r="M151" s="69">
        <f t="shared" si="10"/>
        <v>0</v>
      </c>
      <c r="N151" s="70"/>
    </row>
    <row r="152" spans="2:14" x14ac:dyDescent="0.3">
      <c r="B152" s="68" t="s">
        <v>316</v>
      </c>
      <c r="C152" s="340"/>
      <c r="D152" s="340"/>
      <c r="E152" s="340"/>
      <c r="F152" s="340"/>
      <c r="G152" s="340"/>
      <c r="H152" s="340"/>
      <c r="I152" s="83"/>
      <c r="J152" s="76"/>
      <c r="K152" s="77"/>
      <c r="L152" s="77"/>
      <c r="M152" s="69">
        <f t="shared" si="10"/>
        <v>0</v>
      </c>
      <c r="N152" s="70"/>
    </row>
    <row r="153" spans="2:14" x14ac:dyDescent="0.3">
      <c r="B153" s="68" t="s">
        <v>805</v>
      </c>
      <c r="C153" s="340"/>
      <c r="D153" s="340"/>
      <c r="E153" s="340"/>
      <c r="F153" s="340"/>
      <c r="G153" s="340"/>
      <c r="H153" s="340"/>
      <c r="I153" s="83"/>
      <c r="J153" s="76"/>
      <c r="K153" s="77"/>
      <c r="L153" s="77"/>
      <c r="M153" s="69">
        <f t="shared" si="10"/>
        <v>0</v>
      </c>
      <c r="N153" s="70"/>
    </row>
    <row r="154" spans="2:14" x14ac:dyDescent="0.3">
      <c r="B154" s="68"/>
      <c r="N154" s="70"/>
    </row>
    <row r="155" spans="2:14" x14ac:dyDescent="0.3">
      <c r="B155" s="78" t="s">
        <v>565</v>
      </c>
      <c r="C155" s="57" t="s">
        <v>566</v>
      </c>
      <c r="N155" s="70"/>
    </row>
    <row r="156" spans="2:14" x14ac:dyDescent="0.3">
      <c r="B156" s="68" t="s">
        <v>317</v>
      </c>
      <c r="C156" s="56" t="s">
        <v>318</v>
      </c>
      <c r="J156" s="76"/>
      <c r="K156" s="77"/>
      <c r="L156" s="77"/>
      <c r="M156" s="69">
        <f>ROUND(L156*K156,2)</f>
        <v>0</v>
      </c>
      <c r="N156" s="70"/>
    </row>
    <row r="157" spans="2:14" x14ac:dyDescent="0.3">
      <c r="B157" s="68" t="s">
        <v>319</v>
      </c>
      <c r="C157" s="56" t="s">
        <v>320</v>
      </c>
      <c r="J157" s="76"/>
      <c r="K157" s="77"/>
      <c r="L157" s="77"/>
      <c r="M157" s="69">
        <f>ROUND(L157*K157,2)</f>
        <v>0</v>
      </c>
      <c r="N157" s="70"/>
    </row>
    <row r="158" spans="2:14" x14ac:dyDescent="0.3">
      <c r="B158" s="68" t="s">
        <v>321</v>
      </c>
      <c r="C158" s="340"/>
      <c r="D158" s="340"/>
      <c r="E158" s="340"/>
      <c r="F158" s="340"/>
      <c r="G158" s="340"/>
      <c r="H158" s="340"/>
      <c r="I158" s="83"/>
      <c r="J158" s="76"/>
      <c r="K158" s="77"/>
      <c r="L158" s="77"/>
      <c r="M158" s="69">
        <f>ROUND(L158*K158,2)</f>
        <v>0</v>
      </c>
      <c r="N158" s="70"/>
    </row>
    <row r="159" spans="2:14" x14ac:dyDescent="0.3">
      <c r="B159" s="68" t="s">
        <v>322</v>
      </c>
      <c r="C159" s="340"/>
      <c r="D159" s="340"/>
      <c r="E159" s="340"/>
      <c r="F159" s="340"/>
      <c r="G159" s="340"/>
      <c r="H159" s="340"/>
      <c r="I159" s="83"/>
      <c r="J159" s="76"/>
      <c r="K159" s="77"/>
      <c r="L159" s="77"/>
      <c r="M159" s="69">
        <f>ROUND(L159*K159,2)</f>
        <v>0</v>
      </c>
      <c r="N159" s="70"/>
    </row>
    <row r="160" spans="2:14" x14ac:dyDescent="0.3">
      <c r="B160" s="71"/>
      <c r="C160" s="72" t="s">
        <v>529</v>
      </c>
      <c r="D160" s="73"/>
      <c r="E160" s="73"/>
      <c r="F160" s="73"/>
      <c r="G160" s="73"/>
      <c r="H160" s="73"/>
      <c r="I160" s="73"/>
      <c r="J160" s="74"/>
      <c r="K160" s="74"/>
      <c r="L160" s="74"/>
      <c r="M160" s="75">
        <f>SUM(M135:M159)</f>
        <v>0</v>
      </c>
      <c r="N160" s="133">
        <f>IF($M$430=0,0,M160/$M$430)</f>
        <v>0</v>
      </c>
    </row>
    <row r="162" spans="2:14" x14ac:dyDescent="0.3">
      <c r="B162" s="62">
        <v>6</v>
      </c>
      <c r="C162" s="63" t="s">
        <v>123</v>
      </c>
      <c r="D162" s="64"/>
      <c r="E162" s="64"/>
      <c r="F162" s="64"/>
      <c r="G162" s="64"/>
      <c r="H162" s="64"/>
      <c r="I162" s="64"/>
      <c r="J162" s="65"/>
      <c r="K162" s="65"/>
      <c r="L162" s="65"/>
      <c r="M162" s="65"/>
      <c r="N162" s="67"/>
    </row>
    <row r="163" spans="2:14" x14ac:dyDescent="0.3">
      <c r="B163" s="78" t="s">
        <v>124</v>
      </c>
      <c r="C163" s="57" t="s">
        <v>567</v>
      </c>
      <c r="N163" s="70"/>
    </row>
    <row r="164" spans="2:14" x14ac:dyDescent="0.3">
      <c r="B164" s="68" t="s">
        <v>323</v>
      </c>
      <c r="C164" s="56" t="s">
        <v>324</v>
      </c>
      <c r="J164" s="76"/>
      <c r="K164" s="77"/>
      <c r="L164" s="77"/>
      <c r="M164" s="69">
        <f t="shared" ref="M164:M171" si="11">ROUND(L164*K164,2)</f>
        <v>0</v>
      </c>
      <c r="N164" s="70"/>
    </row>
    <row r="165" spans="2:14" x14ac:dyDescent="0.3">
      <c r="B165" s="68" t="s">
        <v>325</v>
      </c>
      <c r="C165" s="56" t="s">
        <v>326</v>
      </c>
      <c r="J165" s="76"/>
      <c r="K165" s="77"/>
      <c r="L165" s="77"/>
      <c r="M165" s="69">
        <f t="shared" si="11"/>
        <v>0</v>
      </c>
      <c r="N165" s="70"/>
    </row>
    <row r="166" spans="2:14" x14ac:dyDescent="0.3">
      <c r="B166" s="68" t="s">
        <v>327</v>
      </c>
      <c r="C166" s="56" t="s">
        <v>328</v>
      </c>
      <c r="J166" s="76"/>
      <c r="K166" s="77"/>
      <c r="L166" s="77"/>
      <c r="M166" s="69">
        <f t="shared" si="11"/>
        <v>0</v>
      </c>
      <c r="N166" s="70"/>
    </row>
    <row r="167" spans="2:14" x14ac:dyDescent="0.3">
      <c r="B167" s="68" t="s">
        <v>329</v>
      </c>
      <c r="C167" s="56" t="s">
        <v>349</v>
      </c>
      <c r="J167" s="76"/>
      <c r="K167" s="77"/>
      <c r="L167" s="77"/>
      <c r="M167" s="69">
        <f t="shared" si="11"/>
        <v>0</v>
      </c>
      <c r="N167" s="70"/>
    </row>
    <row r="168" spans="2:14" x14ac:dyDescent="0.3">
      <c r="B168" s="68" t="s">
        <v>330</v>
      </c>
      <c r="C168" s="56" t="s">
        <v>331</v>
      </c>
      <c r="J168" s="76"/>
      <c r="K168" s="77"/>
      <c r="L168" s="77"/>
      <c r="M168" s="69">
        <f t="shared" si="11"/>
        <v>0</v>
      </c>
      <c r="N168" s="70"/>
    </row>
    <row r="169" spans="2:14" x14ac:dyDescent="0.3">
      <c r="B169" s="68" t="s">
        <v>332</v>
      </c>
      <c r="C169" s="56" t="s">
        <v>333</v>
      </c>
      <c r="J169" s="76"/>
      <c r="K169" s="77"/>
      <c r="L169" s="77"/>
      <c r="M169" s="69">
        <f t="shared" si="11"/>
        <v>0</v>
      </c>
      <c r="N169" s="70"/>
    </row>
    <row r="170" spans="2:14" x14ac:dyDescent="0.3">
      <c r="B170" s="68" t="s">
        <v>334</v>
      </c>
      <c r="C170" s="340"/>
      <c r="D170" s="340"/>
      <c r="E170" s="340"/>
      <c r="F170" s="340"/>
      <c r="G170" s="340"/>
      <c r="H170" s="340"/>
      <c r="I170" s="83"/>
      <c r="J170" s="76"/>
      <c r="K170" s="77"/>
      <c r="L170" s="77"/>
      <c r="M170" s="69">
        <f t="shared" si="11"/>
        <v>0</v>
      </c>
      <c r="N170" s="70"/>
    </row>
    <row r="171" spans="2:14" x14ac:dyDescent="0.3">
      <c r="B171" s="68" t="s">
        <v>806</v>
      </c>
      <c r="C171" s="340"/>
      <c r="D171" s="340"/>
      <c r="E171" s="340"/>
      <c r="F171" s="340"/>
      <c r="G171" s="340"/>
      <c r="H171" s="340"/>
      <c r="I171" s="83"/>
      <c r="J171" s="76"/>
      <c r="K171" s="77"/>
      <c r="L171" s="77"/>
      <c r="M171" s="69">
        <f t="shared" si="11"/>
        <v>0</v>
      </c>
      <c r="N171" s="70"/>
    </row>
    <row r="172" spans="2:14" x14ac:dyDescent="0.3">
      <c r="B172" s="68"/>
      <c r="N172" s="70"/>
    </row>
    <row r="173" spans="2:14" x14ac:dyDescent="0.3">
      <c r="B173" s="78" t="s">
        <v>126</v>
      </c>
      <c r="C173" s="57" t="s">
        <v>341</v>
      </c>
      <c r="N173" s="70"/>
    </row>
    <row r="174" spans="2:14" x14ac:dyDescent="0.3">
      <c r="B174" s="68" t="s">
        <v>335</v>
      </c>
      <c r="C174" s="56" t="s">
        <v>324</v>
      </c>
      <c r="J174" s="76"/>
      <c r="K174" s="77"/>
      <c r="L174" s="77"/>
      <c r="M174" s="69">
        <f t="shared" ref="M174:M182" si="12">ROUND(L174*K174,2)</f>
        <v>0</v>
      </c>
      <c r="N174" s="70"/>
    </row>
    <row r="175" spans="2:14" x14ac:dyDescent="0.3">
      <c r="B175" s="68" t="s">
        <v>336</v>
      </c>
      <c r="C175" s="56" t="s">
        <v>326</v>
      </c>
      <c r="J175" s="76"/>
      <c r="K175" s="77"/>
      <c r="L175" s="77"/>
      <c r="M175" s="69">
        <f t="shared" si="12"/>
        <v>0</v>
      </c>
      <c r="N175" s="70"/>
    </row>
    <row r="176" spans="2:14" x14ac:dyDescent="0.3">
      <c r="B176" s="68" t="s">
        <v>337</v>
      </c>
      <c r="C176" s="56" t="s">
        <v>338</v>
      </c>
      <c r="J176" s="76"/>
      <c r="K176" s="77"/>
      <c r="L176" s="77"/>
      <c r="M176" s="69">
        <f t="shared" si="12"/>
        <v>0</v>
      </c>
      <c r="N176" s="70"/>
    </row>
    <row r="177" spans="2:14" x14ac:dyDescent="0.3">
      <c r="B177" s="68" t="s">
        <v>339</v>
      </c>
      <c r="C177" s="56" t="s">
        <v>340</v>
      </c>
      <c r="J177" s="76"/>
      <c r="K177" s="77"/>
      <c r="L177" s="77"/>
      <c r="M177" s="69">
        <f t="shared" si="12"/>
        <v>0</v>
      </c>
      <c r="N177" s="70"/>
    </row>
    <row r="178" spans="2:14" x14ac:dyDescent="0.3">
      <c r="B178" s="68" t="s">
        <v>342</v>
      </c>
      <c r="C178" s="56" t="s">
        <v>343</v>
      </c>
      <c r="J178" s="76"/>
      <c r="K178" s="77"/>
      <c r="L178" s="77"/>
      <c r="M178" s="69">
        <f t="shared" si="12"/>
        <v>0</v>
      </c>
      <c r="N178" s="70"/>
    </row>
    <row r="179" spans="2:14" x14ac:dyDescent="0.3">
      <c r="B179" s="68" t="s">
        <v>344</v>
      </c>
      <c r="C179" s="56" t="s">
        <v>345</v>
      </c>
      <c r="J179" s="76"/>
      <c r="K179" s="77"/>
      <c r="L179" s="77"/>
      <c r="M179" s="69">
        <f t="shared" si="12"/>
        <v>0</v>
      </c>
      <c r="N179" s="70"/>
    </row>
    <row r="180" spans="2:14" x14ac:dyDescent="0.3">
      <c r="B180" s="68" t="s">
        <v>346</v>
      </c>
      <c r="C180" s="56" t="s">
        <v>347</v>
      </c>
      <c r="J180" s="76"/>
      <c r="K180" s="77"/>
      <c r="L180" s="77"/>
      <c r="M180" s="69">
        <f t="shared" si="12"/>
        <v>0</v>
      </c>
      <c r="N180" s="70"/>
    </row>
    <row r="181" spans="2:14" x14ac:dyDescent="0.3">
      <c r="B181" s="68" t="s">
        <v>348</v>
      </c>
      <c r="C181" s="340"/>
      <c r="D181" s="340"/>
      <c r="E181" s="340"/>
      <c r="F181" s="340"/>
      <c r="G181" s="340"/>
      <c r="H181" s="340"/>
      <c r="I181" s="83"/>
      <c r="J181" s="76"/>
      <c r="K181" s="77"/>
      <c r="L181" s="77"/>
      <c r="M181" s="69">
        <f t="shared" si="12"/>
        <v>0</v>
      </c>
      <c r="N181" s="70"/>
    </row>
    <row r="182" spans="2:14" x14ac:dyDescent="0.3">
      <c r="B182" s="68" t="s">
        <v>807</v>
      </c>
      <c r="C182" s="340"/>
      <c r="D182" s="340"/>
      <c r="E182" s="340"/>
      <c r="F182" s="340"/>
      <c r="G182" s="340"/>
      <c r="H182" s="340"/>
      <c r="I182" s="83"/>
      <c r="J182" s="76"/>
      <c r="K182" s="77"/>
      <c r="L182" s="77"/>
      <c r="M182" s="69">
        <f t="shared" si="12"/>
        <v>0</v>
      </c>
      <c r="N182" s="70"/>
    </row>
    <row r="183" spans="2:14" x14ac:dyDescent="0.3">
      <c r="B183" s="68"/>
      <c r="N183" s="70"/>
    </row>
    <row r="184" spans="2:14" x14ac:dyDescent="0.3">
      <c r="B184" s="78" t="s">
        <v>128</v>
      </c>
      <c r="C184" s="57" t="s">
        <v>568</v>
      </c>
      <c r="N184" s="70"/>
    </row>
    <row r="185" spans="2:14" x14ac:dyDescent="0.3">
      <c r="B185" s="68" t="s">
        <v>569</v>
      </c>
      <c r="C185" s="56" t="s">
        <v>324</v>
      </c>
      <c r="J185" s="76"/>
      <c r="K185" s="77"/>
      <c r="L185" s="77"/>
      <c r="M185" s="69">
        <f t="shared" ref="M185:M191" si="13">ROUND(L185*K185,2)</f>
        <v>0</v>
      </c>
      <c r="N185" s="70"/>
    </row>
    <row r="186" spans="2:14" x14ac:dyDescent="0.3">
      <c r="B186" s="68" t="s">
        <v>570</v>
      </c>
      <c r="C186" s="56" t="s">
        <v>326</v>
      </c>
      <c r="J186" s="76"/>
      <c r="K186" s="77"/>
      <c r="L186" s="77"/>
      <c r="M186" s="69">
        <f t="shared" si="13"/>
        <v>0</v>
      </c>
      <c r="N186" s="70"/>
    </row>
    <row r="187" spans="2:14" x14ac:dyDescent="0.3">
      <c r="B187" s="68" t="s">
        <v>571</v>
      </c>
      <c r="C187" s="56" t="s">
        <v>328</v>
      </c>
      <c r="J187" s="76"/>
      <c r="K187" s="77"/>
      <c r="L187" s="77"/>
      <c r="M187" s="69">
        <f t="shared" si="13"/>
        <v>0</v>
      </c>
      <c r="N187" s="70"/>
    </row>
    <row r="188" spans="2:14" x14ac:dyDescent="0.3">
      <c r="B188" s="68" t="s">
        <v>572</v>
      </c>
      <c r="C188" s="56" t="s">
        <v>349</v>
      </c>
      <c r="J188" s="76"/>
      <c r="K188" s="77"/>
      <c r="L188" s="77"/>
      <c r="M188" s="69">
        <f t="shared" si="13"/>
        <v>0</v>
      </c>
      <c r="N188" s="70"/>
    </row>
    <row r="189" spans="2:14" x14ac:dyDescent="0.3">
      <c r="B189" s="68" t="s">
        <v>573</v>
      </c>
      <c r="C189" s="56" t="s">
        <v>331</v>
      </c>
      <c r="J189" s="76"/>
      <c r="K189" s="77"/>
      <c r="L189" s="77"/>
      <c r="M189" s="69">
        <f t="shared" si="13"/>
        <v>0</v>
      </c>
      <c r="N189" s="70"/>
    </row>
    <row r="190" spans="2:14" x14ac:dyDescent="0.3">
      <c r="B190" s="68" t="s">
        <v>574</v>
      </c>
      <c r="C190" s="340"/>
      <c r="D190" s="340"/>
      <c r="E190" s="340"/>
      <c r="F190" s="340"/>
      <c r="G190" s="340"/>
      <c r="H190" s="340"/>
      <c r="I190" s="83"/>
      <c r="J190" s="76"/>
      <c r="K190" s="77"/>
      <c r="L190" s="77"/>
      <c r="M190" s="69">
        <f t="shared" si="13"/>
        <v>0</v>
      </c>
      <c r="N190" s="70"/>
    </row>
    <row r="191" spans="2:14" x14ac:dyDescent="0.3">
      <c r="B191" s="68" t="s">
        <v>808</v>
      </c>
      <c r="C191" s="340"/>
      <c r="D191" s="340"/>
      <c r="E191" s="340"/>
      <c r="F191" s="340"/>
      <c r="G191" s="340"/>
      <c r="H191" s="340"/>
      <c r="I191" s="83"/>
      <c r="J191" s="76"/>
      <c r="K191" s="77"/>
      <c r="L191" s="77"/>
      <c r="M191" s="69">
        <f t="shared" si="13"/>
        <v>0</v>
      </c>
      <c r="N191" s="70"/>
    </row>
    <row r="192" spans="2:14" x14ac:dyDescent="0.3">
      <c r="B192" s="68"/>
      <c r="N192" s="70"/>
    </row>
    <row r="193" spans="2:14" x14ac:dyDescent="0.3">
      <c r="B193" s="78" t="s">
        <v>130</v>
      </c>
      <c r="C193" s="57" t="s">
        <v>353</v>
      </c>
      <c r="N193" s="70"/>
    </row>
    <row r="194" spans="2:14" x14ac:dyDescent="0.3">
      <c r="B194" s="68" t="s">
        <v>350</v>
      </c>
      <c r="C194" s="56" t="s">
        <v>333</v>
      </c>
      <c r="J194" s="76"/>
      <c r="K194" s="77"/>
      <c r="L194" s="77"/>
      <c r="M194" s="69">
        <f t="shared" ref="M194:M199" si="14">ROUND(L194*K194,2)</f>
        <v>0</v>
      </c>
      <c r="N194" s="70"/>
    </row>
    <row r="195" spans="2:14" x14ac:dyDescent="0.3">
      <c r="B195" s="68" t="s">
        <v>351</v>
      </c>
      <c r="C195" s="56" t="s">
        <v>352</v>
      </c>
      <c r="J195" s="76"/>
      <c r="K195" s="77"/>
      <c r="L195" s="77"/>
      <c r="M195" s="69">
        <f t="shared" si="14"/>
        <v>0</v>
      </c>
      <c r="N195" s="70"/>
    </row>
    <row r="196" spans="2:14" x14ac:dyDescent="0.3">
      <c r="B196" s="68" t="s">
        <v>354</v>
      </c>
      <c r="C196" s="56" t="s">
        <v>355</v>
      </c>
      <c r="J196" s="76"/>
      <c r="K196" s="77"/>
      <c r="L196" s="77"/>
      <c r="M196" s="69">
        <f t="shared" si="14"/>
        <v>0</v>
      </c>
      <c r="N196" s="70"/>
    </row>
    <row r="197" spans="2:14" x14ac:dyDescent="0.3">
      <c r="B197" s="68" t="s">
        <v>356</v>
      </c>
      <c r="C197" s="56" t="s">
        <v>357</v>
      </c>
      <c r="J197" s="76"/>
      <c r="K197" s="77"/>
      <c r="L197" s="77"/>
      <c r="M197" s="69">
        <f t="shared" si="14"/>
        <v>0</v>
      </c>
      <c r="N197" s="70"/>
    </row>
    <row r="198" spans="2:14" x14ac:dyDescent="0.3">
      <c r="B198" s="68" t="s">
        <v>358</v>
      </c>
      <c r="C198" s="340"/>
      <c r="D198" s="340"/>
      <c r="E198" s="340"/>
      <c r="F198" s="340"/>
      <c r="G198" s="340"/>
      <c r="H198" s="340"/>
      <c r="I198" s="83"/>
      <c r="J198" s="76"/>
      <c r="K198" s="77"/>
      <c r="L198" s="77"/>
      <c r="M198" s="69">
        <f t="shared" si="14"/>
        <v>0</v>
      </c>
      <c r="N198" s="70"/>
    </row>
    <row r="199" spans="2:14" x14ac:dyDescent="0.3">
      <c r="B199" s="68" t="s">
        <v>809</v>
      </c>
      <c r="C199" s="340"/>
      <c r="D199" s="340"/>
      <c r="E199" s="340"/>
      <c r="F199" s="340"/>
      <c r="G199" s="340"/>
      <c r="H199" s="340"/>
      <c r="I199" s="83"/>
      <c r="J199" s="76"/>
      <c r="K199" s="77"/>
      <c r="L199" s="77"/>
      <c r="M199" s="69">
        <f t="shared" si="14"/>
        <v>0</v>
      </c>
      <c r="N199" s="70"/>
    </row>
    <row r="200" spans="2:14" x14ac:dyDescent="0.3">
      <c r="B200" s="68"/>
      <c r="N200" s="70"/>
    </row>
    <row r="201" spans="2:14" x14ac:dyDescent="0.3">
      <c r="B201" s="78" t="s">
        <v>132</v>
      </c>
      <c r="C201" s="57" t="s">
        <v>372</v>
      </c>
      <c r="N201" s="70"/>
    </row>
    <row r="202" spans="2:14" x14ac:dyDescent="0.3">
      <c r="B202" s="68" t="s">
        <v>359</v>
      </c>
      <c r="C202" s="56" t="s">
        <v>360</v>
      </c>
      <c r="J202" s="76"/>
      <c r="K202" s="77"/>
      <c r="L202" s="77"/>
      <c r="M202" s="69">
        <f t="shared" ref="M202:M217" si="15">ROUND(L202*K202,2)</f>
        <v>0</v>
      </c>
      <c r="N202" s="70"/>
    </row>
    <row r="203" spans="2:14" x14ac:dyDescent="0.3">
      <c r="B203" s="68" t="s">
        <v>361</v>
      </c>
      <c r="C203" s="56" t="s">
        <v>362</v>
      </c>
      <c r="J203" s="76"/>
      <c r="K203" s="77"/>
      <c r="L203" s="77"/>
      <c r="M203" s="69">
        <f t="shared" si="15"/>
        <v>0</v>
      </c>
      <c r="N203" s="70"/>
    </row>
    <row r="204" spans="2:14" x14ac:dyDescent="0.3">
      <c r="B204" s="68" t="s">
        <v>363</v>
      </c>
      <c r="C204" s="56" t="s">
        <v>364</v>
      </c>
      <c r="J204" s="76"/>
      <c r="K204" s="77"/>
      <c r="L204" s="77"/>
      <c r="M204" s="69">
        <f t="shared" si="15"/>
        <v>0</v>
      </c>
      <c r="N204" s="70"/>
    </row>
    <row r="205" spans="2:14" x14ac:dyDescent="0.3">
      <c r="B205" s="68" t="s">
        <v>365</v>
      </c>
      <c r="C205" s="56" t="s">
        <v>366</v>
      </c>
      <c r="J205" s="76"/>
      <c r="K205" s="77"/>
      <c r="L205" s="77"/>
      <c r="M205" s="69">
        <f t="shared" si="15"/>
        <v>0</v>
      </c>
      <c r="N205" s="70"/>
    </row>
    <row r="206" spans="2:14" x14ac:dyDescent="0.3">
      <c r="B206" s="68" t="s">
        <v>367</v>
      </c>
      <c r="C206" s="56" t="s">
        <v>368</v>
      </c>
      <c r="J206" s="76"/>
      <c r="K206" s="77"/>
      <c r="L206" s="77"/>
      <c r="M206" s="69">
        <f t="shared" si="15"/>
        <v>0</v>
      </c>
      <c r="N206" s="70"/>
    </row>
    <row r="207" spans="2:14" x14ac:dyDescent="0.3">
      <c r="B207" s="68" t="s">
        <v>369</v>
      </c>
      <c r="C207" s="56" t="s">
        <v>370</v>
      </c>
      <c r="J207" s="76"/>
      <c r="K207" s="77"/>
      <c r="L207" s="77"/>
      <c r="M207" s="69">
        <f t="shared" si="15"/>
        <v>0</v>
      </c>
      <c r="N207" s="70"/>
    </row>
    <row r="208" spans="2:14" x14ac:dyDescent="0.3">
      <c r="B208" s="68" t="s">
        <v>371</v>
      </c>
      <c r="C208" s="56" t="s">
        <v>575</v>
      </c>
      <c r="J208" s="76"/>
      <c r="K208" s="77"/>
      <c r="L208" s="77"/>
      <c r="M208" s="69">
        <f t="shared" si="15"/>
        <v>0</v>
      </c>
      <c r="N208" s="70"/>
    </row>
    <row r="209" spans="2:14" x14ac:dyDescent="0.3">
      <c r="B209" s="68" t="s">
        <v>373</v>
      </c>
      <c r="C209" s="56" t="s">
        <v>374</v>
      </c>
      <c r="J209" s="76"/>
      <c r="K209" s="77"/>
      <c r="L209" s="77"/>
      <c r="M209" s="69">
        <f t="shared" si="15"/>
        <v>0</v>
      </c>
      <c r="N209" s="70"/>
    </row>
    <row r="210" spans="2:14" x14ac:dyDescent="0.3">
      <c r="B210" s="68" t="s">
        <v>375</v>
      </c>
      <c r="C210" s="56" t="s">
        <v>376</v>
      </c>
      <c r="J210" s="76"/>
      <c r="K210" s="77"/>
      <c r="L210" s="77"/>
      <c r="M210" s="69">
        <f t="shared" si="15"/>
        <v>0</v>
      </c>
      <c r="N210" s="70"/>
    </row>
    <row r="211" spans="2:14" x14ac:dyDescent="0.3">
      <c r="B211" s="68" t="s">
        <v>377</v>
      </c>
      <c r="C211" s="56" t="s">
        <v>378</v>
      </c>
      <c r="J211" s="76"/>
      <c r="K211" s="77"/>
      <c r="L211" s="77"/>
      <c r="M211" s="69">
        <f t="shared" si="15"/>
        <v>0</v>
      </c>
      <c r="N211" s="70"/>
    </row>
    <row r="212" spans="2:14" x14ac:dyDescent="0.3">
      <c r="B212" s="68" t="s">
        <v>379</v>
      </c>
      <c r="C212" s="56" t="s">
        <v>380</v>
      </c>
      <c r="J212" s="76"/>
      <c r="K212" s="77"/>
      <c r="L212" s="77"/>
      <c r="M212" s="69">
        <f t="shared" si="15"/>
        <v>0</v>
      </c>
      <c r="N212" s="70"/>
    </row>
    <row r="213" spans="2:14" x14ac:dyDescent="0.3">
      <c r="B213" s="68" t="s">
        <v>381</v>
      </c>
      <c r="C213" s="56" t="s">
        <v>382</v>
      </c>
      <c r="J213" s="76"/>
      <c r="K213" s="77"/>
      <c r="L213" s="77"/>
      <c r="M213" s="69">
        <f t="shared" si="15"/>
        <v>0</v>
      </c>
      <c r="N213" s="70"/>
    </row>
    <row r="214" spans="2:14" x14ac:dyDescent="0.3">
      <c r="B214" s="68" t="s">
        <v>383</v>
      </c>
      <c r="C214" s="56" t="s">
        <v>384</v>
      </c>
      <c r="D214" s="56" t="s">
        <v>372</v>
      </c>
      <c r="J214" s="76"/>
      <c r="K214" s="77"/>
      <c r="L214" s="77"/>
      <c r="M214" s="69">
        <f t="shared" si="15"/>
        <v>0</v>
      </c>
      <c r="N214" s="70"/>
    </row>
    <row r="215" spans="2:14" x14ac:dyDescent="0.3">
      <c r="B215" s="68" t="s">
        <v>385</v>
      </c>
      <c r="C215" s="56" t="s">
        <v>386</v>
      </c>
      <c r="J215" s="76"/>
      <c r="K215" s="77"/>
      <c r="L215" s="77"/>
      <c r="M215" s="69">
        <f t="shared" si="15"/>
        <v>0</v>
      </c>
      <c r="N215" s="70"/>
    </row>
    <row r="216" spans="2:14" x14ac:dyDescent="0.3">
      <c r="B216" s="68" t="s">
        <v>387</v>
      </c>
      <c r="C216" s="340"/>
      <c r="D216" s="340"/>
      <c r="E216" s="340"/>
      <c r="F216" s="340"/>
      <c r="G216" s="340"/>
      <c r="H216" s="340"/>
      <c r="I216" s="83"/>
      <c r="J216" s="76"/>
      <c r="K216" s="77"/>
      <c r="L216" s="77"/>
      <c r="M216" s="69">
        <f t="shared" si="15"/>
        <v>0</v>
      </c>
      <c r="N216" s="70"/>
    </row>
    <row r="217" spans="2:14" x14ac:dyDescent="0.3">
      <c r="B217" s="68" t="s">
        <v>793</v>
      </c>
      <c r="C217" s="340"/>
      <c r="D217" s="340"/>
      <c r="E217" s="340"/>
      <c r="F217" s="340"/>
      <c r="G217" s="340"/>
      <c r="H217" s="340"/>
      <c r="I217" s="83"/>
      <c r="J217" s="76"/>
      <c r="K217" s="77"/>
      <c r="L217" s="77"/>
      <c r="M217" s="69">
        <f t="shared" si="15"/>
        <v>0</v>
      </c>
      <c r="N217" s="70"/>
    </row>
    <row r="218" spans="2:14" x14ac:dyDescent="0.3">
      <c r="B218" s="68"/>
      <c r="N218" s="70"/>
    </row>
    <row r="219" spans="2:14" x14ac:dyDescent="0.3">
      <c r="B219" s="78" t="s">
        <v>134</v>
      </c>
      <c r="C219" s="57" t="s">
        <v>576</v>
      </c>
      <c r="N219" s="70"/>
    </row>
    <row r="220" spans="2:14" x14ac:dyDescent="0.3">
      <c r="B220" s="68" t="s">
        <v>388</v>
      </c>
      <c r="C220" s="56" t="s">
        <v>389</v>
      </c>
      <c r="J220" s="76"/>
      <c r="K220" s="77"/>
      <c r="L220" s="77"/>
      <c r="M220" s="69">
        <f t="shared" ref="M220:M227" si="16">ROUND(L220*K220,2)</f>
        <v>0</v>
      </c>
      <c r="N220" s="70"/>
    </row>
    <row r="221" spans="2:14" x14ac:dyDescent="0.3">
      <c r="B221" s="68" t="s">
        <v>390</v>
      </c>
      <c r="C221" s="56" t="s">
        <v>391</v>
      </c>
      <c r="J221" s="76"/>
      <c r="K221" s="77"/>
      <c r="L221" s="77"/>
      <c r="M221" s="69">
        <f t="shared" si="16"/>
        <v>0</v>
      </c>
      <c r="N221" s="70"/>
    </row>
    <row r="222" spans="2:14" x14ac:dyDescent="0.3">
      <c r="B222" s="68" t="s">
        <v>392</v>
      </c>
      <c r="C222" s="56" t="s">
        <v>393</v>
      </c>
      <c r="J222" s="76"/>
      <c r="K222" s="77"/>
      <c r="L222" s="77"/>
      <c r="M222" s="69">
        <f t="shared" si="16"/>
        <v>0</v>
      </c>
      <c r="N222" s="70"/>
    </row>
    <row r="223" spans="2:14" x14ac:dyDescent="0.3">
      <c r="B223" s="68" t="s">
        <v>394</v>
      </c>
      <c r="C223" s="56" t="s">
        <v>395</v>
      </c>
      <c r="J223" s="76"/>
      <c r="K223" s="77"/>
      <c r="L223" s="77"/>
      <c r="M223" s="69">
        <f t="shared" si="16"/>
        <v>0</v>
      </c>
      <c r="N223" s="70"/>
    </row>
    <row r="224" spans="2:14" x14ac:dyDescent="0.3">
      <c r="B224" s="68" t="s">
        <v>396</v>
      </c>
      <c r="C224" s="56" t="s">
        <v>397</v>
      </c>
      <c r="J224" s="76"/>
      <c r="K224" s="77"/>
      <c r="L224" s="77"/>
      <c r="M224" s="69">
        <f t="shared" si="16"/>
        <v>0</v>
      </c>
      <c r="N224" s="70"/>
    </row>
    <row r="225" spans="2:14" x14ac:dyDescent="0.3">
      <c r="B225" s="68" t="s">
        <v>398</v>
      </c>
      <c r="C225" s="56" t="s">
        <v>399</v>
      </c>
      <c r="J225" s="76"/>
      <c r="K225" s="77"/>
      <c r="L225" s="77"/>
      <c r="M225" s="69">
        <f t="shared" si="16"/>
        <v>0</v>
      </c>
      <c r="N225" s="70"/>
    </row>
    <row r="226" spans="2:14" x14ac:dyDescent="0.3">
      <c r="B226" s="68" t="s">
        <v>400</v>
      </c>
      <c r="C226" s="340"/>
      <c r="D226" s="340"/>
      <c r="E226" s="340"/>
      <c r="F226" s="340"/>
      <c r="G226" s="340"/>
      <c r="H226" s="340"/>
      <c r="I226" s="83"/>
      <c r="J226" s="76"/>
      <c r="K226" s="77"/>
      <c r="L226" s="77"/>
      <c r="M226" s="69">
        <f t="shared" si="16"/>
        <v>0</v>
      </c>
      <c r="N226" s="70"/>
    </row>
    <row r="227" spans="2:14" x14ac:dyDescent="0.3">
      <c r="B227" s="68" t="s">
        <v>810</v>
      </c>
      <c r="C227" s="340"/>
      <c r="D227" s="340"/>
      <c r="E227" s="340"/>
      <c r="F227" s="340"/>
      <c r="G227" s="340"/>
      <c r="H227" s="340"/>
      <c r="I227" s="83"/>
      <c r="J227" s="76"/>
      <c r="K227" s="77"/>
      <c r="L227" s="77"/>
      <c r="M227" s="69">
        <f t="shared" si="16"/>
        <v>0</v>
      </c>
      <c r="N227" s="70"/>
    </row>
    <row r="228" spans="2:14" x14ac:dyDescent="0.3">
      <c r="B228" s="71"/>
      <c r="C228" s="72" t="s">
        <v>529</v>
      </c>
      <c r="D228" s="73"/>
      <c r="E228" s="73"/>
      <c r="F228" s="73"/>
      <c r="G228" s="73"/>
      <c r="H228" s="73"/>
      <c r="I228" s="73"/>
      <c r="J228" s="74"/>
      <c r="K228" s="74"/>
      <c r="L228" s="74"/>
      <c r="M228" s="75">
        <f>SUM(M162:M227)</f>
        <v>0</v>
      </c>
      <c r="N228" s="133">
        <f>IF($M$430=0,0,M228/$M$430)</f>
        <v>0</v>
      </c>
    </row>
    <row r="230" spans="2:14" x14ac:dyDescent="0.3">
      <c r="B230" s="62">
        <v>7</v>
      </c>
      <c r="C230" s="63" t="s">
        <v>136</v>
      </c>
      <c r="D230" s="64"/>
      <c r="E230" s="64"/>
      <c r="F230" s="64"/>
      <c r="G230" s="64"/>
      <c r="H230" s="64"/>
      <c r="I230" s="64"/>
      <c r="J230" s="65"/>
      <c r="K230" s="65"/>
      <c r="L230" s="65"/>
      <c r="M230" s="65"/>
      <c r="N230" s="67"/>
    </row>
    <row r="231" spans="2:14" x14ac:dyDescent="0.3">
      <c r="B231" s="78" t="s">
        <v>137</v>
      </c>
      <c r="C231" s="57" t="s">
        <v>352</v>
      </c>
      <c r="N231" s="70"/>
    </row>
    <row r="232" spans="2:14" x14ac:dyDescent="0.3">
      <c r="B232" s="68" t="s">
        <v>401</v>
      </c>
      <c r="C232" s="56" t="s">
        <v>402</v>
      </c>
      <c r="J232" s="76"/>
      <c r="K232" s="77"/>
      <c r="L232" s="77"/>
      <c r="M232" s="69">
        <f t="shared" ref="M232:M238" si="17">ROUND(L232*K232,2)</f>
        <v>0</v>
      </c>
      <c r="N232" s="70"/>
    </row>
    <row r="233" spans="2:14" x14ac:dyDescent="0.3">
      <c r="B233" s="68" t="s">
        <v>403</v>
      </c>
      <c r="C233" s="56" t="s">
        <v>404</v>
      </c>
      <c r="J233" s="76"/>
      <c r="K233" s="77"/>
      <c r="L233" s="77"/>
      <c r="M233" s="69">
        <f t="shared" si="17"/>
        <v>0</v>
      </c>
      <c r="N233" s="70"/>
    </row>
    <row r="234" spans="2:14" x14ac:dyDescent="0.3">
      <c r="B234" s="68" t="s">
        <v>405</v>
      </c>
      <c r="C234" s="56" t="s">
        <v>406</v>
      </c>
      <c r="J234" s="76"/>
      <c r="K234" s="77"/>
      <c r="L234" s="77"/>
      <c r="M234" s="69">
        <f t="shared" si="17"/>
        <v>0</v>
      </c>
      <c r="N234" s="70"/>
    </row>
    <row r="235" spans="2:14" x14ac:dyDescent="0.3">
      <c r="B235" s="68" t="s">
        <v>407</v>
      </c>
      <c r="C235" s="56" t="s">
        <v>408</v>
      </c>
      <c r="J235" s="76"/>
      <c r="K235" s="77"/>
      <c r="L235" s="77"/>
      <c r="M235" s="69">
        <f t="shared" si="17"/>
        <v>0</v>
      </c>
      <c r="N235" s="70"/>
    </row>
    <row r="236" spans="2:14" x14ac:dyDescent="0.3">
      <c r="B236" s="68" t="s">
        <v>409</v>
      </c>
      <c r="C236" s="56" t="s">
        <v>410</v>
      </c>
      <c r="J236" s="76"/>
      <c r="K236" s="77"/>
      <c r="L236" s="77"/>
      <c r="M236" s="69">
        <f t="shared" si="17"/>
        <v>0</v>
      </c>
      <c r="N236" s="70"/>
    </row>
    <row r="237" spans="2:14" x14ac:dyDescent="0.3">
      <c r="B237" s="68" t="s">
        <v>411</v>
      </c>
      <c r="C237" s="340"/>
      <c r="D237" s="340"/>
      <c r="E237" s="340"/>
      <c r="F237" s="340"/>
      <c r="G237" s="340"/>
      <c r="H237" s="340"/>
      <c r="I237" s="83"/>
      <c r="J237" s="76"/>
      <c r="K237" s="77"/>
      <c r="L237" s="77"/>
      <c r="M237" s="69">
        <f t="shared" si="17"/>
        <v>0</v>
      </c>
      <c r="N237" s="70"/>
    </row>
    <row r="238" spans="2:14" x14ac:dyDescent="0.3">
      <c r="B238" s="68" t="s">
        <v>811</v>
      </c>
      <c r="C238" s="340"/>
      <c r="D238" s="340"/>
      <c r="E238" s="340"/>
      <c r="F238" s="340"/>
      <c r="G238" s="340"/>
      <c r="H238" s="340"/>
      <c r="I238" s="83"/>
      <c r="J238" s="76"/>
      <c r="K238" s="77"/>
      <c r="L238" s="77"/>
      <c r="M238" s="69">
        <f t="shared" si="17"/>
        <v>0</v>
      </c>
      <c r="N238" s="70"/>
    </row>
    <row r="239" spans="2:14" x14ac:dyDescent="0.3">
      <c r="B239" s="68"/>
      <c r="N239" s="70"/>
    </row>
    <row r="240" spans="2:14" x14ac:dyDescent="0.3">
      <c r="B240" s="78" t="s">
        <v>139</v>
      </c>
      <c r="C240" s="57" t="s">
        <v>434</v>
      </c>
      <c r="N240" s="70"/>
    </row>
    <row r="241" spans="2:14" x14ac:dyDescent="0.3">
      <c r="B241" s="68" t="s">
        <v>412</v>
      </c>
      <c r="C241" s="56" t="s">
        <v>413</v>
      </c>
      <c r="J241" s="76"/>
      <c r="K241" s="77"/>
      <c r="L241" s="77"/>
      <c r="M241" s="69">
        <f t="shared" ref="M241:M246" si="18">ROUND(L241*K241,2)</f>
        <v>0</v>
      </c>
      <c r="N241" s="70"/>
    </row>
    <row r="242" spans="2:14" x14ac:dyDescent="0.3">
      <c r="B242" s="68" t="s">
        <v>414</v>
      </c>
      <c r="C242" s="56" t="s">
        <v>415</v>
      </c>
      <c r="J242" s="76"/>
      <c r="K242" s="77"/>
      <c r="L242" s="77"/>
      <c r="M242" s="69">
        <f t="shared" si="18"/>
        <v>0</v>
      </c>
      <c r="N242" s="70"/>
    </row>
    <row r="243" spans="2:14" x14ac:dyDescent="0.3">
      <c r="B243" s="68" t="s">
        <v>416</v>
      </c>
      <c r="C243" s="56" t="s">
        <v>417</v>
      </c>
      <c r="J243" s="76"/>
      <c r="K243" s="77"/>
      <c r="L243" s="77"/>
      <c r="M243" s="69">
        <f t="shared" si="18"/>
        <v>0</v>
      </c>
      <c r="N243" s="70"/>
    </row>
    <row r="244" spans="2:14" x14ac:dyDescent="0.3">
      <c r="B244" s="68" t="s">
        <v>418</v>
      </c>
      <c r="C244" s="56" t="s">
        <v>347</v>
      </c>
      <c r="J244" s="76"/>
      <c r="K244" s="77"/>
      <c r="L244" s="77"/>
      <c r="M244" s="69">
        <f t="shared" si="18"/>
        <v>0</v>
      </c>
      <c r="N244" s="70"/>
    </row>
    <row r="245" spans="2:14" x14ac:dyDescent="0.3">
      <c r="B245" s="68" t="s">
        <v>419</v>
      </c>
      <c r="C245" s="340"/>
      <c r="D245" s="340"/>
      <c r="E245" s="340"/>
      <c r="F245" s="340"/>
      <c r="G245" s="340"/>
      <c r="H245" s="340"/>
      <c r="I245" s="83"/>
      <c r="J245" s="76"/>
      <c r="K245" s="77"/>
      <c r="L245" s="77"/>
      <c r="M245" s="69">
        <f t="shared" si="18"/>
        <v>0</v>
      </c>
      <c r="N245" s="70"/>
    </row>
    <row r="246" spans="2:14" x14ac:dyDescent="0.3">
      <c r="B246" s="68" t="s">
        <v>812</v>
      </c>
      <c r="C246" s="340"/>
      <c r="D246" s="340"/>
      <c r="E246" s="340"/>
      <c r="F246" s="340"/>
      <c r="G246" s="340"/>
      <c r="H246" s="340"/>
      <c r="I246" s="83"/>
      <c r="J246" s="76"/>
      <c r="K246" s="77"/>
      <c r="L246" s="77"/>
      <c r="M246" s="69">
        <f t="shared" si="18"/>
        <v>0</v>
      </c>
      <c r="N246" s="70"/>
    </row>
    <row r="247" spans="2:14" x14ac:dyDescent="0.3">
      <c r="B247" s="68"/>
      <c r="N247" s="70"/>
    </row>
    <row r="248" spans="2:14" x14ac:dyDescent="0.3">
      <c r="B248" s="78" t="s">
        <v>141</v>
      </c>
      <c r="C248" s="57" t="s">
        <v>425</v>
      </c>
      <c r="N248" s="70"/>
    </row>
    <row r="249" spans="2:14" x14ac:dyDescent="0.3">
      <c r="B249" s="68" t="s">
        <v>420</v>
      </c>
      <c r="C249" s="56" t="s">
        <v>421</v>
      </c>
      <c r="J249" s="76"/>
      <c r="K249" s="77"/>
      <c r="L249" s="77"/>
      <c r="M249" s="69">
        <f>ROUND(L249*K249,2)</f>
        <v>0</v>
      </c>
      <c r="N249" s="70"/>
    </row>
    <row r="250" spans="2:14" x14ac:dyDescent="0.3">
      <c r="B250" s="68" t="s">
        <v>422</v>
      </c>
      <c r="C250" s="56" t="s">
        <v>423</v>
      </c>
      <c r="J250" s="76"/>
      <c r="K250" s="77"/>
      <c r="L250" s="77"/>
      <c r="M250" s="69">
        <f>ROUND(L250*K250,2)</f>
        <v>0</v>
      </c>
      <c r="N250" s="70"/>
    </row>
    <row r="251" spans="2:14" x14ac:dyDescent="0.3">
      <c r="B251" s="68" t="s">
        <v>424</v>
      </c>
      <c r="C251" s="56" t="s">
        <v>425</v>
      </c>
      <c r="J251" s="76"/>
      <c r="K251" s="77"/>
      <c r="L251" s="77"/>
      <c r="M251" s="69">
        <f>ROUND(L251*K251,2)</f>
        <v>0</v>
      </c>
      <c r="N251" s="70"/>
    </row>
    <row r="252" spans="2:14" x14ac:dyDescent="0.3">
      <c r="B252" s="68" t="s">
        <v>426</v>
      </c>
      <c r="C252" s="340"/>
      <c r="D252" s="340"/>
      <c r="E252" s="340"/>
      <c r="F252" s="340"/>
      <c r="G252" s="340"/>
      <c r="H252" s="340"/>
      <c r="I252" s="83"/>
      <c r="J252" s="76"/>
      <c r="K252" s="77"/>
      <c r="L252" s="77"/>
      <c r="M252" s="69">
        <f>ROUND(L252*K252,2)</f>
        <v>0</v>
      </c>
      <c r="N252" s="70"/>
    </row>
    <row r="253" spans="2:14" x14ac:dyDescent="0.3">
      <c r="B253" s="68" t="s">
        <v>813</v>
      </c>
      <c r="C253" s="340"/>
      <c r="D253" s="340"/>
      <c r="E253" s="340"/>
      <c r="F253" s="340"/>
      <c r="G253" s="340"/>
      <c r="H253" s="340"/>
      <c r="I253" s="83"/>
      <c r="J253" s="76"/>
      <c r="K253" s="77"/>
      <c r="L253" s="77"/>
      <c r="M253" s="69">
        <f>ROUND(L253*K253,2)</f>
        <v>0</v>
      </c>
      <c r="N253" s="70"/>
    </row>
    <row r="254" spans="2:14" x14ac:dyDescent="0.3">
      <c r="B254" s="68"/>
      <c r="N254" s="70"/>
    </row>
    <row r="255" spans="2:14" x14ac:dyDescent="0.3">
      <c r="B255" s="78" t="s">
        <v>143</v>
      </c>
      <c r="C255" s="57" t="s">
        <v>577</v>
      </c>
      <c r="N255" s="70"/>
    </row>
    <row r="256" spans="2:14" x14ac:dyDescent="0.3">
      <c r="B256" s="68" t="s">
        <v>427</v>
      </c>
      <c r="C256" s="56" t="s">
        <v>413</v>
      </c>
      <c r="J256" s="76"/>
      <c r="K256" s="77"/>
      <c r="L256" s="77"/>
      <c r="M256" s="69">
        <f>ROUND(L256*K256,2)</f>
        <v>0</v>
      </c>
      <c r="N256" s="70"/>
    </row>
    <row r="257" spans="2:14" x14ac:dyDescent="0.3">
      <c r="B257" s="68" t="s">
        <v>428</v>
      </c>
      <c r="C257" s="56" t="s">
        <v>429</v>
      </c>
      <c r="J257" s="76"/>
      <c r="K257" s="77"/>
      <c r="L257" s="77"/>
      <c r="M257" s="69">
        <f>ROUND(L257*K257,2)</f>
        <v>0</v>
      </c>
      <c r="N257" s="70"/>
    </row>
    <row r="258" spans="2:14" x14ac:dyDescent="0.3">
      <c r="B258" s="68" t="s">
        <v>430</v>
      </c>
      <c r="C258" s="56" t="s">
        <v>431</v>
      </c>
      <c r="J258" s="76"/>
      <c r="K258" s="77"/>
      <c r="L258" s="77"/>
      <c r="M258" s="69">
        <f>ROUND(L258*K258,2)</f>
        <v>0</v>
      </c>
      <c r="N258" s="70"/>
    </row>
    <row r="259" spans="2:14" x14ac:dyDescent="0.3">
      <c r="B259" s="68" t="s">
        <v>432</v>
      </c>
      <c r="C259" s="340"/>
      <c r="D259" s="340"/>
      <c r="E259" s="340"/>
      <c r="F259" s="340"/>
      <c r="G259" s="340"/>
      <c r="H259" s="340"/>
      <c r="I259" s="83"/>
      <c r="J259" s="76"/>
      <c r="K259" s="77"/>
      <c r="L259" s="77"/>
      <c r="M259" s="69">
        <f>ROUND(L259*K259,2)</f>
        <v>0</v>
      </c>
      <c r="N259" s="70"/>
    </row>
    <row r="260" spans="2:14" x14ac:dyDescent="0.3">
      <c r="B260" s="68" t="s">
        <v>814</v>
      </c>
      <c r="C260" s="340"/>
      <c r="D260" s="340"/>
      <c r="E260" s="340"/>
      <c r="F260" s="340"/>
      <c r="G260" s="340"/>
      <c r="H260" s="340"/>
      <c r="I260" s="83"/>
      <c r="J260" s="76"/>
      <c r="K260" s="77"/>
      <c r="L260" s="77"/>
      <c r="M260" s="69">
        <f>ROUND(L260*K260,2)</f>
        <v>0</v>
      </c>
      <c r="N260" s="70"/>
    </row>
    <row r="261" spans="2:14" x14ac:dyDescent="0.3">
      <c r="B261" s="68"/>
      <c r="N261" s="70"/>
    </row>
    <row r="262" spans="2:14" x14ac:dyDescent="0.3">
      <c r="B262" s="78" t="s">
        <v>145</v>
      </c>
      <c r="C262" s="57" t="s">
        <v>578</v>
      </c>
      <c r="N262" s="70"/>
    </row>
    <row r="263" spans="2:14" x14ac:dyDescent="0.3">
      <c r="B263" s="68" t="s">
        <v>579</v>
      </c>
      <c r="C263" s="56" t="s">
        <v>352</v>
      </c>
      <c r="J263" s="76"/>
      <c r="K263" s="77"/>
      <c r="L263" s="77"/>
      <c r="M263" s="69">
        <f t="shared" ref="M263:M268" si="19">ROUND(L263*K263,2)</f>
        <v>0</v>
      </c>
      <c r="N263" s="70"/>
    </row>
    <row r="264" spans="2:14" x14ac:dyDescent="0.3">
      <c r="B264" s="68" t="s">
        <v>580</v>
      </c>
      <c r="C264" s="56" t="s">
        <v>393</v>
      </c>
      <c r="J264" s="76"/>
      <c r="K264" s="77"/>
      <c r="L264" s="77"/>
      <c r="M264" s="69">
        <f t="shared" si="19"/>
        <v>0</v>
      </c>
      <c r="N264" s="70"/>
    </row>
    <row r="265" spans="2:14" x14ac:dyDescent="0.3">
      <c r="B265" s="68" t="s">
        <v>581</v>
      </c>
      <c r="C265" s="56" t="s">
        <v>433</v>
      </c>
      <c r="J265" s="76"/>
      <c r="K265" s="77"/>
      <c r="L265" s="77"/>
      <c r="M265" s="69">
        <f t="shared" si="19"/>
        <v>0</v>
      </c>
      <c r="N265" s="70"/>
    </row>
    <row r="266" spans="2:14" x14ac:dyDescent="0.3">
      <c r="B266" s="68" t="s">
        <v>582</v>
      </c>
      <c r="C266" s="56" t="s">
        <v>434</v>
      </c>
      <c r="J266" s="76"/>
      <c r="K266" s="77"/>
      <c r="L266" s="77"/>
      <c r="M266" s="69">
        <f t="shared" si="19"/>
        <v>0</v>
      </c>
      <c r="N266" s="70"/>
    </row>
    <row r="267" spans="2:14" x14ac:dyDescent="0.3">
      <c r="B267" s="68" t="s">
        <v>583</v>
      </c>
      <c r="C267" s="56" t="s">
        <v>435</v>
      </c>
      <c r="J267" s="76"/>
      <c r="K267" s="77"/>
      <c r="L267" s="77"/>
      <c r="M267" s="69">
        <f t="shared" si="19"/>
        <v>0</v>
      </c>
      <c r="N267" s="70"/>
    </row>
    <row r="268" spans="2:14" x14ac:dyDescent="0.3">
      <c r="B268" s="68" t="s">
        <v>584</v>
      </c>
      <c r="C268" s="56" t="s">
        <v>436</v>
      </c>
      <c r="J268" s="76"/>
      <c r="K268" s="77"/>
      <c r="L268" s="77"/>
      <c r="M268" s="69">
        <f t="shared" si="19"/>
        <v>0</v>
      </c>
      <c r="N268" s="70"/>
    </row>
    <row r="269" spans="2:14" x14ac:dyDescent="0.3">
      <c r="B269" s="68"/>
      <c r="N269" s="70"/>
    </row>
    <row r="270" spans="2:14" x14ac:dyDescent="0.3">
      <c r="B270" s="78" t="s">
        <v>147</v>
      </c>
      <c r="C270" s="57" t="s">
        <v>585</v>
      </c>
      <c r="N270" s="70"/>
    </row>
    <row r="271" spans="2:14" x14ac:dyDescent="0.3">
      <c r="B271" s="68" t="s">
        <v>440</v>
      </c>
      <c r="C271" s="56" t="s">
        <v>393</v>
      </c>
      <c r="J271" s="76"/>
      <c r="K271" s="77"/>
      <c r="L271" s="77"/>
      <c r="M271" s="69">
        <f>ROUND(L271*K271,2)</f>
        <v>0</v>
      </c>
      <c r="N271" s="70"/>
    </row>
    <row r="272" spans="2:14" x14ac:dyDescent="0.3">
      <c r="B272" s="68" t="s">
        <v>441</v>
      </c>
      <c r="C272" s="56" t="s">
        <v>433</v>
      </c>
      <c r="J272" s="76"/>
      <c r="K272" s="77"/>
      <c r="L272" s="77"/>
      <c r="M272" s="69">
        <f>ROUND(L272*K272,2)</f>
        <v>0</v>
      </c>
      <c r="N272" s="70"/>
    </row>
    <row r="273" spans="2:14" x14ac:dyDescent="0.3">
      <c r="B273" s="68" t="s">
        <v>442</v>
      </c>
      <c r="C273" s="56" t="s">
        <v>438</v>
      </c>
      <c r="J273" s="76"/>
      <c r="K273" s="77"/>
      <c r="L273" s="77"/>
      <c r="M273" s="69">
        <f>ROUND(L273*K273,2)</f>
        <v>0</v>
      </c>
      <c r="N273" s="70"/>
    </row>
    <row r="274" spans="2:14" x14ac:dyDescent="0.3">
      <c r="B274" s="68" t="s">
        <v>443</v>
      </c>
      <c r="C274" s="56" t="s">
        <v>439</v>
      </c>
      <c r="J274" s="76"/>
      <c r="K274" s="77"/>
      <c r="L274" s="77"/>
      <c r="M274" s="69">
        <f>ROUND(L274*K274,2)</f>
        <v>0</v>
      </c>
      <c r="N274" s="70"/>
    </row>
    <row r="275" spans="2:14" x14ac:dyDescent="0.3">
      <c r="B275" s="68"/>
      <c r="N275" s="70"/>
    </row>
    <row r="276" spans="2:14" x14ac:dyDescent="0.3">
      <c r="B276" s="78" t="s">
        <v>445</v>
      </c>
      <c r="C276" s="57" t="s">
        <v>437</v>
      </c>
      <c r="N276" s="70"/>
    </row>
    <row r="277" spans="2:14" x14ac:dyDescent="0.3">
      <c r="B277" s="68" t="s">
        <v>586</v>
      </c>
      <c r="C277" s="56" t="s">
        <v>393</v>
      </c>
      <c r="J277" s="76"/>
      <c r="K277" s="77"/>
      <c r="L277" s="77"/>
      <c r="M277" s="69">
        <f>ROUND(L277*K277,2)</f>
        <v>0</v>
      </c>
      <c r="N277" s="70"/>
    </row>
    <row r="278" spans="2:14" x14ac:dyDescent="0.3">
      <c r="B278" s="68" t="s">
        <v>587</v>
      </c>
      <c r="C278" s="56" t="s">
        <v>433</v>
      </c>
      <c r="J278" s="76"/>
      <c r="K278" s="77"/>
      <c r="L278" s="77"/>
      <c r="M278" s="69">
        <f>ROUND(L278*K278,2)</f>
        <v>0</v>
      </c>
      <c r="N278" s="70"/>
    </row>
    <row r="279" spans="2:14" x14ac:dyDescent="0.3">
      <c r="B279" s="68" t="s">
        <v>588</v>
      </c>
      <c r="C279" s="56" t="s">
        <v>438</v>
      </c>
      <c r="J279" s="76"/>
      <c r="K279" s="77"/>
      <c r="L279" s="77"/>
      <c r="M279" s="69">
        <f>ROUND(L279*K279,2)</f>
        <v>0</v>
      </c>
      <c r="N279" s="70"/>
    </row>
    <row r="280" spans="2:14" x14ac:dyDescent="0.3">
      <c r="B280" s="68" t="s">
        <v>589</v>
      </c>
      <c r="C280" s="56" t="s">
        <v>439</v>
      </c>
      <c r="J280" s="76"/>
      <c r="K280" s="77"/>
      <c r="L280" s="77"/>
      <c r="M280" s="69">
        <f>ROUND(L280*K280,2)</f>
        <v>0</v>
      </c>
      <c r="N280" s="70"/>
    </row>
    <row r="281" spans="2:14" x14ac:dyDescent="0.3">
      <c r="B281" s="68"/>
      <c r="N281" s="70"/>
    </row>
    <row r="282" spans="2:14" x14ac:dyDescent="0.3">
      <c r="B282" s="78" t="s">
        <v>590</v>
      </c>
      <c r="C282" s="57" t="s">
        <v>591</v>
      </c>
      <c r="E282" s="55"/>
      <c r="N282" s="70"/>
    </row>
    <row r="283" spans="2:14" x14ac:dyDescent="0.3">
      <c r="B283" s="68" t="s">
        <v>592</v>
      </c>
      <c r="C283" s="56" t="s">
        <v>413</v>
      </c>
      <c r="E283" s="55"/>
      <c r="J283" s="76"/>
      <c r="K283" s="77"/>
      <c r="L283" s="77"/>
      <c r="M283" s="69">
        <f t="shared" ref="M283:M289" si="20">ROUND(L283*K283,2)</f>
        <v>0</v>
      </c>
      <c r="N283" s="70"/>
    </row>
    <row r="284" spans="2:14" x14ac:dyDescent="0.3">
      <c r="B284" s="68" t="s">
        <v>593</v>
      </c>
      <c r="C284" s="56" t="s">
        <v>393</v>
      </c>
      <c r="J284" s="76"/>
      <c r="K284" s="77"/>
      <c r="L284" s="77"/>
      <c r="M284" s="69">
        <f t="shared" si="20"/>
        <v>0</v>
      </c>
      <c r="N284" s="70"/>
    </row>
    <row r="285" spans="2:14" x14ac:dyDescent="0.3">
      <c r="B285" s="68" t="s">
        <v>594</v>
      </c>
      <c r="C285" s="56" t="s">
        <v>439</v>
      </c>
      <c r="J285" s="76"/>
      <c r="K285" s="77"/>
      <c r="L285" s="77"/>
      <c r="M285" s="69">
        <f t="shared" si="20"/>
        <v>0</v>
      </c>
      <c r="N285" s="70"/>
    </row>
    <row r="286" spans="2:14" x14ac:dyDescent="0.3">
      <c r="B286" s="68" t="s">
        <v>595</v>
      </c>
      <c r="C286" s="56" t="s">
        <v>444</v>
      </c>
      <c r="J286" s="76"/>
      <c r="K286" s="77"/>
      <c r="L286" s="77"/>
      <c r="M286" s="69">
        <f t="shared" si="20"/>
        <v>0</v>
      </c>
      <c r="N286" s="70"/>
    </row>
    <row r="287" spans="2:14" x14ac:dyDescent="0.3">
      <c r="B287" s="68" t="s">
        <v>596</v>
      </c>
      <c r="C287" s="56" t="s">
        <v>433</v>
      </c>
      <c r="J287" s="76"/>
      <c r="K287" s="77"/>
      <c r="L287" s="77"/>
      <c r="M287" s="69">
        <f t="shared" si="20"/>
        <v>0</v>
      </c>
      <c r="N287" s="70"/>
    </row>
    <row r="288" spans="2:14" x14ac:dyDescent="0.3">
      <c r="B288" s="68" t="s">
        <v>597</v>
      </c>
      <c r="C288" s="340"/>
      <c r="D288" s="340"/>
      <c r="E288" s="340"/>
      <c r="F288" s="340"/>
      <c r="G288" s="340"/>
      <c r="H288" s="340"/>
      <c r="I288" s="83"/>
      <c r="J288" s="76"/>
      <c r="K288" s="77"/>
      <c r="L288" s="77"/>
      <c r="M288" s="69">
        <f t="shared" si="20"/>
        <v>0</v>
      </c>
      <c r="N288" s="70"/>
    </row>
    <row r="289" spans="2:14" x14ac:dyDescent="0.3">
      <c r="B289" s="68" t="s">
        <v>598</v>
      </c>
      <c r="C289" s="340"/>
      <c r="D289" s="340"/>
      <c r="E289" s="340"/>
      <c r="F289" s="340"/>
      <c r="G289" s="340"/>
      <c r="H289" s="340"/>
      <c r="I289" s="83"/>
      <c r="J289" s="76"/>
      <c r="K289" s="77"/>
      <c r="L289" s="77"/>
      <c r="M289" s="69">
        <f t="shared" si="20"/>
        <v>0</v>
      </c>
      <c r="N289" s="70"/>
    </row>
    <row r="290" spans="2:14" x14ac:dyDescent="0.3">
      <c r="B290" s="71"/>
      <c r="C290" s="72" t="s">
        <v>529</v>
      </c>
      <c r="D290" s="73"/>
      <c r="E290" s="74"/>
      <c r="F290" s="73"/>
      <c r="G290" s="73"/>
      <c r="H290" s="73"/>
      <c r="I290" s="73"/>
      <c r="J290" s="74"/>
      <c r="K290" s="74"/>
      <c r="L290" s="74"/>
      <c r="M290" s="75">
        <f>SUM(M230:M289)</f>
        <v>0</v>
      </c>
      <c r="N290" s="133">
        <f>IF($M$430=0,0,M290/$M$430)</f>
        <v>0</v>
      </c>
    </row>
    <row r="291" spans="2:14" x14ac:dyDescent="0.3">
      <c r="E291" s="55"/>
    </row>
    <row r="292" spans="2:14" x14ac:dyDescent="0.3">
      <c r="B292" s="62">
        <v>8</v>
      </c>
      <c r="C292" s="63" t="s">
        <v>599</v>
      </c>
      <c r="D292" s="64"/>
      <c r="E292" s="65"/>
      <c r="F292" s="64"/>
      <c r="G292" s="64"/>
      <c r="H292" s="64"/>
      <c r="I292" s="64"/>
      <c r="J292" s="65"/>
      <c r="K292" s="65"/>
      <c r="L292" s="65"/>
      <c r="M292" s="65"/>
      <c r="N292" s="67"/>
    </row>
    <row r="293" spans="2:14" x14ac:dyDescent="0.3">
      <c r="B293" s="78" t="s">
        <v>150</v>
      </c>
      <c r="C293" s="57" t="s">
        <v>600</v>
      </c>
      <c r="E293" s="55"/>
      <c r="N293" s="70"/>
    </row>
    <row r="294" spans="2:14" x14ac:dyDescent="0.3">
      <c r="B294" s="68" t="s">
        <v>446</v>
      </c>
      <c r="C294" s="56" t="s">
        <v>447</v>
      </c>
      <c r="E294" s="55"/>
      <c r="J294" s="76"/>
      <c r="K294" s="77"/>
      <c r="L294" s="77"/>
      <c r="M294" s="69">
        <f t="shared" ref="M294:M310" si="21">ROUND(L294*K294,2)</f>
        <v>0</v>
      </c>
      <c r="N294" s="70"/>
    </row>
    <row r="295" spans="2:14" x14ac:dyDescent="0.3">
      <c r="B295" s="68" t="s">
        <v>448</v>
      </c>
      <c r="C295" s="56" t="s">
        <v>449</v>
      </c>
      <c r="J295" s="76"/>
      <c r="K295" s="77"/>
      <c r="L295" s="77"/>
      <c r="M295" s="69">
        <f t="shared" si="21"/>
        <v>0</v>
      </c>
      <c r="N295" s="70"/>
    </row>
    <row r="296" spans="2:14" x14ac:dyDescent="0.3">
      <c r="B296" s="68" t="s">
        <v>450</v>
      </c>
      <c r="C296" s="56" t="s">
        <v>451</v>
      </c>
      <c r="J296" s="76"/>
      <c r="K296" s="77"/>
      <c r="L296" s="77"/>
      <c r="M296" s="69">
        <f t="shared" si="21"/>
        <v>0</v>
      </c>
      <c r="N296" s="70"/>
    </row>
    <row r="297" spans="2:14" x14ac:dyDescent="0.3">
      <c r="B297" s="68" t="s">
        <v>452</v>
      </c>
      <c r="C297" s="56" t="s">
        <v>453</v>
      </c>
      <c r="J297" s="76"/>
      <c r="K297" s="77"/>
      <c r="L297" s="77"/>
      <c r="M297" s="69">
        <f t="shared" si="21"/>
        <v>0</v>
      </c>
      <c r="N297" s="70"/>
    </row>
    <row r="298" spans="2:14" x14ac:dyDescent="0.3">
      <c r="B298" s="68" t="s">
        <v>454</v>
      </c>
      <c r="C298" s="56" t="s">
        <v>455</v>
      </c>
      <c r="J298" s="76"/>
      <c r="K298" s="77"/>
      <c r="L298" s="77"/>
      <c r="M298" s="69">
        <f t="shared" si="21"/>
        <v>0</v>
      </c>
      <c r="N298" s="70"/>
    </row>
    <row r="299" spans="2:14" x14ac:dyDescent="0.3">
      <c r="B299" s="68" t="s">
        <v>456</v>
      </c>
      <c r="C299" s="56" t="s">
        <v>457</v>
      </c>
      <c r="J299" s="76"/>
      <c r="K299" s="77"/>
      <c r="L299" s="77"/>
      <c r="M299" s="69">
        <f t="shared" si="21"/>
        <v>0</v>
      </c>
      <c r="N299" s="70"/>
    </row>
    <row r="300" spans="2:14" x14ac:dyDescent="0.3">
      <c r="B300" s="68" t="s">
        <v>458</v>
      </c>
      <c r="C300" s="56" t="s">
        <v>459</v>
      </c>
      <c r="J300" s="76"/>
      <c r="K300" s="77"/>
      <c r="L300" s="77"/>
      <c r="M300" s="69">
        <f t="shared" si="21"/>
        <v>0</v>
      </c>
      <c r="N300" s="70"/>
    </row>
    <row r="301" spans="2:14" x14ac:dyDescent="0.3">
      <c r="B301" s="68" t="s">
        <v>460</v>
      </c>
      <c r="C301" s="56" t="s">
        <v>461</v>
      </c>
      <c r="J301" s="76"/>
      <c r="K301" s="77"/>
      <c r="L301" s="77"/>
      <c r="M301" s="69">
        <f t="shared" si="21"/>
        <v>0</v>
      </c>
      <c r="N301" s="70"/>
    </row>
    <row r="302" spans="2:14" x14ac:dyDescent="0.3">
      <c r="B302" s="68" t="s">
        <v>462</v>
      </c>
      <c r="C302" s="56" t="s">
        <v>463</v>
      </c>
      <c r="J302" s="76"/>
      <c r="K302" s="77"/>
      <c r="L302" s="77"/>
      <c r="M302" s="69">
        <f t="shared" si="21"/>
        <v>0</v>
      </c>
      <c r="N302" s="70"/>
    </row>
    <row r="303" spans="2:14" x14ac:dyDescent="0.3">
      <c r="B303" s="68" t="s">
        <v>464</v>
      </c>
      <c r="C303" s="56" t="s">
        <v>465</v>
      </c>
      <c r="J303" s="76"/>
      <c r="K303" s="77"/>
      <c r="L303" s="77"/>
      <c r="M303" s="69">
        <f t="shared" si="21"/>
        <v>0</v>
      </c>
      <c r="N303" s="70"/>
    </row>
    <row r="304" spans="2:14" x14ac:dyDescent="0.3">
      <c r="B304" s="68" t="s">
        <v>466</v>
      </c>
      <c r="C304" s="56" t="s">
        <v>467</v>
      </c>
      <c r="J304" s="76"/>
      <c r="K304" s="77"/>
      <c r="L304" s="77"/>
      <c r="M304" s="69">
        <f t="shared" si="21"/>
        <v>0</v>
      </c>
      <c r="N304" s="70"/>
    </row>
    <row r="305" spans="2:14" x14ac:dyDescent="0.3">
      <c r="B305" s="68" t="s">
        <v>468</v>
      </c>
      <c r="C305" s="56" t="s">
        <v>469</v>
      </c>
      <c r="J305" s="76"/>
      <c r="K305" s="77"/>
      <c r="L305" s="77"/>
      <c r="M305" s="69">
        <f t="shared" si="21"/>
        <v>0</v>
      </c>
      <c r="N305" s="70"/>
    </row>
    <row r="306" spans="2:14" x14ac:dyDescent="0.3">
      <c r="B306" s="68" t="s">
        <v>470</v>
      </c>
      <c r="C306" s="56" t="s">
        <v>471</v>
      </c>
      <c r="J306" s="76"/>
      <c r="K306" s="77"/>
      <c r="L306" s="77"/>
      <c r="M306" s="69">
        <f t="shared" si="21"/>
        <v>0</v>
      </c>
      <c r="N306" s="70"/>
    </row>
    <row r="307" spans="2:14" x14ac:dyDescent="0.3">
      <c r="B307" s="68" t="s">
        <v>472</v>
      </c>
      <c r="C307" s="56" t="s">
        <v>473</v>
      </c>
      <c r="J307" s="76"/>
      <c r="K307" s="77"/>
      <c r="L307" s="77"/>
      <c r="M307" s="69">
        <f t="shared" si="21"/>
        <v>0</v>
      </c>
      <c r="N307" s="70"/>
    </row>
    <row r="308" spans="2:14" x14ac:dyDescent="0.3">
      <c r="B308" s="68" t="s">
        <v>474</v>
      </c>
      <c r="C308" s="56" t="s">
        <v>475</v>
      </c>
      <c r="J308" s="76"/>
      <c r="K308" s="77"/>
      <c r="L308" s="77"/>
      <c r="M308" s="69">
        <f t="shared" si="21"/>
        <v>0</v>
      </c>
      <c r="N308" s="70"/>
    </row>
    <row r="309" spans="2:14" x14ac:dyDescent="0.3">
      <c r="B309" s="68" t="s">
        <v>476</v>
      </c>
      <c r="C309" s="340"/>
      <c r="D309" s="340"/>
      <c r="E309" s="340"/>
      <c r="F309" s="340"/>
      <c r="G309" s="340"/>
      <c r="H309" s="340"/>
      <c r="I309" s="83"/>
      <c r="J309" s="76"/>
      <c r="K309" s="77"/>
      <c r="L309" s="77"/>
      <c r="M309" s="69">
        <f t="shared" si="21"/>
        <v>0</v>
      </c>
      <c r="N309" s="70"/>
    </row>
    <row r="310" spans="2:14" x14ac:dyDescent="0.3">
      <c r="B310" s="68" t="s">
        <v>477</v>
      </c>
      <c r="C310" s="340"/>
      <c r="D310" s="340"/>
      <c r="E310" s="340"/>
      <c r="F310" s="340"/>
      <c r="G310" s="340"/>
      <c r="H310" s="340"/>
      <c r="I310" s="83"/>
      <c r="J310" s="76"/>
      <c r="K310" s="77"/>
      <c r="L310" s="77"/>
      <c r="M310" s="69">
        <f t="shared" si="21"/>
        <v>0</v>
      </c>
      <c r="N310" s="70"/>
    </row>
    <row r="311" spans="2:14" x14ac:dyDescent="0.3">
      <c r="B311" s="68"/>
      <c r="N311" s="70"/>
    </row>
    <row r="312" spans="2:14" x14ac:dyDescent="0.3">
      <c r="B312" s="78" t="s">
        <v>152</v>
      </c>
      <c r="C312" s="57" t="s">
        <v>601</v>
      </c>
      <c r="E312" s="55"/>
      <c r="N312" s="70"/>
    </row>
    <row r="313" spans="2:14" x14ac:dyDescent="0.3">
      <c r="B313" s="68" t="s">
        <v>604</v>
      </c>
      <c r="C313" s="56" t="s">
        <v>478</v>
      </c>
      <c r="E313" s="55"/>
      <c r="J313" s="76"/>
      <c r="K313" s="77"/>
      <c r="L313" s="77"/>
      <c r="M313" s="69">
        <f t="shared" ref="M313:M319" si="22">ROUND(L313*K313,2)</f>
        <v>0</v>
      </c>
      <c r="N313" s="70"/>
    </row>
    <row r="314" spans="2:14" x14ac:dyDescent="0.3">
      <c r="B314" s="68" t="s">
        <v>605</v>
      </c>
      <c r="C314" s="56" t="s">
        <v>479</v>
      </c>
      <c r="J314" s="76"/>
      <c r="K314" s="77"/>
      <c r="L314" s="77"/>
      <c r="M314" s="69">
        <f t="shared" si="22"/>
        <v>0</v>
      </c>
      <c r="N314" s="70"/>
    </row>
    <row r="315" spans="2:14" x14ac:dyDescent="0.3">
      <c r="B315" s="68" t="s">
        <v>606</v>
      </c>
      <c r="C315" s="56" t="s">
        <v>480</v>
      </c>
      <c r="J315" s="76"/>
      <c r="K315" s="77"/>
      <c r="L315" s="77"/>
      <c r="M315" s="69">
        <f t="shared" si="22"/>
        <v>0</v>
      </c>
      <c r="N315" s="70"/>
    </row>
    <row r="316" spans="2:14" x14ac:dyDescent="0.3">
      <c r="B316" s="68" t="s">
        <v>607</v>
      </c>
      <c r="C316" s="56" t="s">
        <v>481</v>
      </c>
      <c r="J316" s="76"/>
      <c r="K316" s="77"/>
      <c r="L316" s="77"/>
      <c r="M316" s="69">
        <f t="shared" si="22"/>
        <v>0</v>
      </c>
      <c r="N316" s="70"/>
    </row>
    <row r="317" spans="2:14" x14ac:dyDescent="0.3">
      <c r="B317" s="68" t="s">
        <v>608</v>
      </c>
      <c r="C317" s="56" t="s">
        <v>602</v>
      </c>
      <c r="J317" s="76"/>
      <c r="K317" s="77"/>
      <c r="L317" s="77"/>
      <c r="M317" s="69">
        <f t="shared" si="22"/>
        <v>0</v>
      </c>
      <c r="N317" s="70"/>
    </row>
    <row r="318" spans="2:14" x14ac:dyDescent="0.3">
      <c r="B318" s="68" t="s">
        <v>609</v>
      </c>
      <c r="C318" s="340"/>
      <c r="D318" s="340"/>
      <c r="E318" s="340"/>
      <c r="F318" s="340"/>
      <c r="G318" s="340"/>
      <c r="H318" s="340"/>
      <c r="I318" s="83"/>
      <c r="J318" s="76"/>
      <c r="K318" s="77"/>
      <c r="L318" s="77"/>
      <c r="M318" s="69">
        <f t="shared" si="22"/>
        <v>0</v>
      </c>
      <c r="N318" s="70"/>
    </row>
    <row r="319" spans="2:14" x14ac:dyDescent="0.3">
      <c r="B319" s="68" t="s">
        <v>610</v>
      </c>
      <c r="C319" s="340"/>
      <c r="D319" s="340"/>
      <c r="E319" s="340"/>
      <c r="F319" s="340"/>
      <c r="G319" s="340"/>
      <c r="H319" s="340"/>
      <c r="I319" s="83"/>
      <c r="J319" s="76"/>
      <c r="K319" s="77"/>
      <c r="L319" s="77"/>
      <c r="M319" s="69">
        <f t="shared" si="22"/>
        <v>0</v>
      </c>
      <c r="N319" s="70"/>
    </row>
    <row r="320" spans="2:14" x14ac:dyDescent="0.3">
      <c r="B320" s="68"/>
      <c r="N320" s="70"/>
    </row>
    <row r="321" spans="2:14" x14ac:dyDescent="0.3">
      <c r="B321" s="78" t="s">
        <v>153</v>
      </c>
      <c r="C321" s="57" t="s">
        <v>603</v>
      </c>
      <c r="N321" s="70"/>
    </row>
    <row r="322" spans="2:14" x14ac:dyDescent="0.3">
      <c r="B322" s="68" t="s">
        <v>493</v>
      </c>
      <c r="C322" s="56" t="s">
        <v>479</v>
      </c>
      <c r="J322" s="76"/>
      <c r="K322" s="77"/>
      <c r="L322" s="77"/>
      <c r="M322" s="69">
        <f t="shared" ref="M322:M327" si="23">ROUND(L322*K322,2)</f>
        <v>0</v>
      </c>
      <c r="N322" s="70"/>
    </row>
    <row r="323" spans="2:14" x14ac:dyDescent="0.3">
      <c r="B323" s="68" t="s">
        <v>495</v>
      </c>
      <c r="C323" s="56" t="s">
        <v>482</v>
      </c>
      <c r="J323" s="76"/>
      <c r="K323" s="77"/>
      <c r="L323" s="77"/>
      <c r="M323" s="69">
        <f t="shared" si="23"/>
        <v>0</v>
      </c>
      <c r="N323" s="70"/>
    </row>
    <row r="324" spans="2:14" x14ac:dyDescent="0.3">
      <c r="B324" s="68" t="s">
        <v>497</v>
      </c>
      <c r="C324" s="56" t="s">
        <v>481</v>
      </c>
      <c r="J324" s="76"/>
      <c r="K324" s="77"/>
      <c r="L324" s="77"/>
      <c r="M324" s="69">
        <f t="shared" si="23"/>
        <v>0</v>
      </c>
      <c r="N324" s="70"/>
    </row>
    <row r="325" spans="2:14" x14ac:dyDescent="0.3">
      <c r="B325" s="68" t="s">
        <v>499</v>
      </c>
      <c r="C325" s="56" t="s">
        <v>483</v>
      </c>
      <c r="J325" s="76"/>
      <c r="K325" s="77"/>
      <c r="L325" s="77"/>
      <c r="M325" s="69">
        <f t="shared" si="23"/>
        <v>0</v>
      </c>
      <c r="N325" s="70"/>
    </row>
    <row r="326" spans="2:14" x14ac:dyDescent="0.3">
      <c r="B326" s="68" t="s">
        <v>501</v>
      </c>
      <c r="C326" s="340"/>
      <c r="D326" s="340"/>
      <c r="E326" s="340"/>
      <c r="F326" s="340"/>
      <c r="G326" s="340"/>
      <c r="H326" s="340"/>
      <c r="I326" s="83"/>
      <c r="J326" s="76"/>
      <c r="K326" s="77"/>
      <c r="L326" s="77"/>
      <c r="M326" s="69">
        <f t="shared" si="23"/>
        <v>0</v>
      </c>
      <c r="N326" s="70"/>
    </row>
    <row r="327" spans="2:14" x14ac:dyDescent="0.3">
      <c r="B327" s="68" t="s">
        <v>503</v>
      </c>
      <c r="C327" s="340"/>
      <c r="D327" s="340"/>
      <c r="E327" s="340"/>
      <c r="F327" s="340"/>
      <c r="G327" s="340"/>
      <c r="H327" s="340"/>
      <c r="I327" s="83"/>
      <c r="J327" s="76"/>
      <c r="K327" s="77"/>
      <c r="L327" s="77"/>
      <c r="M327" s="69">
        <f t="shared" si="23"/>
        <v>0</v>
      </c>
      <c r="N327" s="70"/>
    </row>
    <row r="328" spans="2:14" x14ac:dyDescent="0.3">
      <c r="B328" s="68"/>
      <c r="N328" s="70"/>
    </row>
    <row r="329" spans="2:14" x14ac:dyDescent="0.3">
      <c r="B329" s="78" t="s">
        <v>155</v>
      </c>
      <c r="C329" s="57" t="s">
        <v>484</v>
      </c>
      <c r="N329" s="70"/>
    </row>
    <row r="330" spans="2:14" x14ac:dyDescent="0.3">
      <c r="B330" s="68" t="s">
        <v>505</v>
      </c>
      <c r="C330" s="56" t="s">
        <v>480</v>
      </c>
      <c r="J330" s="76"/>
      <c r="K330" s="77"/>
      <c r="L330" s="77"/>
      <c r="M330" s="69">
        <f t="shared" ref="M330:M335" si="24">ROUND(L330*K330,2)</f>
        <v>0</v>
      </c>
      <c r="N330" s="70"/>
    </row>
    <row r="331" spans="2:14" x14ac:dyDescent="0.3">
      <c r="B331" s="68" t="s">
        <v>507</v>
      </c>
      <c r="C331" s="56" t="s">
        <v>481</v>
      </c>
      <c r="J331" s="76"/>
      <c r="K331" s="77"/>
      <c r="L331" s="77"/>
      <c r="M331" s="69">
        <f t="shared" si="24"/>
        <v>0</v>
      </c>
      <c r="N331" s="70"/>
    </row>
    <row r="332" spans="2:14" x14ac:dyDescent="0.3">
      <c r="B332" s="68" t="s">
        <v>509</v>
      </c>
      <c r="C332" s="56" t="s">
        <v>486</v>
      </c>
      <c r="J332" s="76"/>
      <c r="K332" s="77"/>
      <c r="L332" s="77"/>
      <c r="M332" s="69">
        <f t="shared" si="24"/>
        <v>0</v>
      </c>
      <c r="N332" s="70"/>
    </row>
    <row r="333" spans="2:14" x14ac:dyDescent="0.3">
      <c r="B333" s="68" t="s">
        <v>510</v>
      </c>
      <c r="C333" s="56" t="s">
        <v>487</v>
      </c>
      <c r="J333" s="76"/>
      <c r="K333" s="77"/>
      <c r="L333" s="77"/>
      <c r="M333" s="69">
        <f t="shared" si="24"/>
        <v>0</v>
      </c>
      <c r="N333" s="70"/>
    </row>
    <row r="334" spans="2:14" x14ac:dyDescent="0.3">
      <c r="B334" s="68" t="s">
        <v>613</v>
      </c>
      <c r="C334" s="340"/>
      <c r="D334" s="340"/>
      <c r="E334" s="340"/>
      <c r="F334" s="340"/>
      <c r="G334" s="340"/>
      <c r="H334" s="340"/>
      <c r="I334" s="83"/>
      <c r="J334" s="76"/>
      <c r="K334" s="77"/>
      <c r="L334" s="77"/>
      <c r="M334" s="69">
        <f t="shared" si="24"/>
        <v>0</v>
      </c>
      <c r="N334" s="70"/>
    </row>
    <row r="335" spans="2:14" x14ac:dyDescent="0.3">
      <c r="B335" s="68" t="s">
        <v>815</v>
      </c>
      <c r="C335" s="340"/>
      <c r="D335" s="340"/>
      <c r="E335" s="340"/>
      <c r="F335" s="340"/>
      <c r="G335" s="340"/>
      <c r="H335" s="340"/>
      <c r="I335" s="83"/>
      <c r="J335" s="76"/>
      <c r="K335" s="77"/>
      <c r="L335" s="77"/>
      <c r="M335" s="69">
        <f t="shared" si="24"/>
        <v>0</v>
      </c>
      <c r="N335" s="70"/>
    </row>
    <row r="336" spans="2:14" x14ac:dyDescent="0.3">
      <c r="B336" s="68"/>
      <c r="N336" s="70"/>
    </row>
    <row r="337" spans="2:14" x14ac:dyDescent="0.3">
      <c r="B337" s="78" t="s">
        <v>157</v>
      </c>
      <c r="C337" s="57" t="s">
        <v>485</v>
      </c>
      <c r="N337" s="70"/>
    </row>
    <row r="338" spans="2:14" x14ac:dyDescent="0.3">
      <c r="B338" s="68" t="s">
        <v>611</v>
      </c>
      <c r="C338" s="56" t="s">
        <v>480</v>
      </c>
      <c r="J338" s="76"/>
      <c r="K338" s="77"/>
      <c r="L338" s="77"/>
      <c r="M338" s="69">
        <f t="shared" ref="M338:M345" si="25">ROUND(L338*K338,2)</f>
        <v>0</v>
      </c>
      <c r="N338" s="70"/>
    </row>
    <row r="339" spans="2:14" x14ac:dyDescent="0.3">
      <c r="B339" s="68" t="s">
        <v>517</v>
      </c>
      <c r="C339" s="56" t="s">
        <v>488</v>
      </c>
      <c r="J339" s="76"/>
      <c r="K339" s="77"/>
      <c r="L339" s="77"/>
      <c r="M339" s="69">
        <f t="shared" si="25"/>
        <v>0</v>
      </c>
      <c r="N339" s="70"/>
    </row>
    <row r="340" spans="2:14" x14ac:dyDescent="0.3">
      <c r="B340" s="68" t="s">
        <v>614</v>
      </c>
      <c r="C340" s="56" t="s">
        <v>489</v>
      </c>
      <c r="J340" s="76"/>
      <c r="K340" s="77"/>
      <c r="L340" s="77"/>
      <c r="M340" s="69">
        <f t="shared" si="25"/>
        <v>0</v>
      </c>
      <c r="N340" s="70"/>
    </row>
    <row r="341" spans="2:14" x14ac:dyDescent="0.3">
      <c r="B341" s="68" t="s">
        <v>615</v>
      </c>
      <c r="C341" s="56" t="s">
        <v>490</v>
      </c>
      <c r="J341" s="76"/>
      <c r="K341" s="77"/>
      <c r="L341" s="77"/>
      <c r="M341" s="69">
        <f t="shared" si="25"/>
        <v>0</v>
      </c>
      <c r="N341" s="70"/>
    </row>
    <row r="342" spans="2:14" x14ac:dyDescent="0.3">
      <c r="B342" s="68" t="s">
        <v>616</v>
      </c>
      <c r="C342" s="56" t="s">
        <v>491</v>
      </c>
      <c r="J342" s="76"/>
      <c r="K342" s="77"/>
      <c r="L342" s="77"/>
      <c r="M342" s="69">
        <f t="shared" si="25"/>
        <v>0</v>
      </c>
      <c r="N342" s="70"/>
    </row>
    <row r="343" spans="2:14" x14ac:dyDescent="0.3">
      <c r="B343" s="68" t="s">
        <v>617</v>
      </c>
      <c r="C343" s="56" t="s">
        <v>492</v>
      </c>
      <c r="J343" s="76"/>
      <c r="K343" s="77"/>
      <c r="L343" s="77"/>
      <c r="M343" s="69">
        <f t="shared" si="25"/>
        <v>0</v>
      </c>
      <c r="N343" s="70"/>
    </row>
    <row r="344" spans="2:14" x14ac:dyDescent="0.3">
      <c r="B344" s="68" t="s">
        <v>618</v>
      </c>
      <c r="C344" s="340"/>
      <c r="D344" s="340"/>
      <c r="E344" s="340"/>
      <c r="F344" s="340"/>
      <c r="G344" s="340"/>
      <c r="H344" s="340"/>
      <c r="I344" s="83"/>
      <c r="J344" s="76"/>
      <c r="K344" s="77"/>
      <c r="L344" s="77"/>
      <c r="M344" s="69">
        <f t="shared" si="25"/>
        <v>0</v>
      </c>
      <c r="N344" s="70"/>
    </row>
    <row r="345" spans="2:14" x14ac:dyDescent="0.3">
      <c r="B345" s="68" t="s">
        <v>816</v>
      </c>
      <c r="C345" s="340"/>
      <c r="D345" s="340"/>
      <c r="E345" s="340"/>
      <c r="F345" s="340"/>
      <c r="G345" s="340"/>
      <c r="H345" s="340"/>
      <c r="I345" s="83"/>
      <c r="J345" s="76"/>
      <c r="K345" s="77"/>
      <c r="L345" s="77"/>
      <c r="M345" s="69">
        <f t="shared" si="25"/>
        <v>0</v>
      </c>
      <c r="N345" s="70"/>
    </row>
    <row r="346" spans="2:14" x14ac:dyDescent="0.3">
      <c r="B346" s="68"/>
      <c r="N346" s="70"/>
    </row>
    <row r="347" spans="2:14" x14ac:dyDescent="0.3">
      <c r="B347" s="78" t="s">
        <v>159</v>
      </c>
      <c r="C347" s="57" t="s">
        <v>619</v>
      </c>
      <c r="N347" s="70"/>
    </row>
    <row r="348" spans="2:14" x14ac:dyDescent="0.3">
      <c r="B348" s="68" t="s">
        <v>612</v>
      </c>
      <c r="C348" s="56" t="s">
        <v>494</v>
      </c>
      <c r="J348" s="76"/>
      <c r="K348" s="77"/>
      <c r="L348" s="77"/>
      <c r="M348" s="69">
        <f t="shared" ref="M348:M355" si="26">ROUND(L348*K348,2)</f>
        <v>0</v>
      </c>
      <c r="N348" s="70"/>
    </row>
    <row r="349" spans="2:14" x14ac:dyDescent="0.3">
      <c r="B349" s="68" t="s">
        <v>620</v>
      </c>
      <c r="C349" s="56" t="s">
        <v>496</v>
      </c>
      <c r="J349" s="76"/>
      <c r="K349" s="77"/>
      <c r="L349" s="77"/>
      <c r="M349" s="69">
        <f t="shared" si="26"/>
        <v>0</v>
      </c>
      <c r="N349" s="70"/>
    </row>
    <row r="350" spans="2:14" x14ac:dyDescent="0.3">
      <c r="B350" s="68" t="s">
        <v>621</v>
      </c>
      <c r="C350" s="56" t="s">
        <v>498</v>
      </c>
      <c r="J350" s="76"/>
      <c r="K350" s="77"/>
      <c r="L350" s="77"/>
      <c r="M350" s="69">
        <f t="shared" si="26"/>
        <v>0</v>
      </c>
      <c r="N350" s="70"/>
    </row>
    <row r="351" spans="2:14" x14ac:dyDescent="0.3">
      <c r="B351" s="68" t="s">
        <v>622</v>
      </c>
      <c r="C351" s="56" t="s">
        <v>500</v>
      </c>
      <c r="J351" s="76"/>
      <c r="K351" s="77"/>
      <c r="L351" s="77"/>
      <c r="M351" s="69">
        <f t="shared" si="26"/>
        <v>0</v>
      </c>
      <c r="N351" s="70"/>
    </row>
    <row r="352" spans="2:14" x14ac:dyDescent="0.3">
      <c r="B352" s="68" t="s">
        <v>623</v>
      </c>
      <c r="C352" s="56" t="s">
        <v>502</v>
      </c>
      <c r="J352" s="76"/>
      <c r="K352" s="77"/>
      <c r="L352" s="77"/>
      <c r="M352" s="69">
        <f t="shared" si="26"/>
        <v>0</v>
      </c>
      <c r="N352" s="70"/>
    </row>
    <row r="353" spans="2:14" x14ac:dyDescent="0.3">
      <c r="B353" s="68" t="s">
        <v>624</v>
      </c>
      <c r="C353" s="56" t="s">
        <v>504</v>
      </c>
      <c r="E353" s="55"/>
      <c r="J353" s="76"/>
      <c r="K353" s="77"/>
      <c r="L353" s="77"/>
      <c r="M353" s="69">
        <f t="shared" si="26"/>
        <v>0</v>
      </c>
      <c r="N353" s="70"/>
    </row>
    <row r="354" spans="2:14" x14ac:dyDescent="0.3">
      <c r="B354" s="68" t="s">
        <v>625</v>
      </c>
      <c r="C354" s="340"/>
      <c r="D354" s="340"/>
      <c r="E354" s="340"/>
      <c r="F354" s="340"/>
      <c r="G354" s="340"/>
      <c r="H354" s="340"/>
      <c r="I354" s="83"/>
      <c r="J354" s="76"/>
      <c r="K354" s="77"/>
      <c r="L354" s="77"/>
      <c r="M354" s="69">
        <f t="shared" si="26"/>
        <v>0</v>
      </c>
      <c r="N354" s="70"/>
    </row>
    <row r="355" spans="2:14" x14ac:dyDescent="0.3">
      <c r="B355" s="68" t="s">
        <v>626</v>
      </c>
      <c r="C355" s="340"/>
      <c r="D355" s="340"/>
      <c r="E355" s="340"/>
      <c r="F355" s="340"/>
      <c r="G355" s="340"/>
      <c r="H355" s="340"/>
      <c r="I355" s="83"/>
      <c r="J355" s="76"/>
      <c r="K355" s="77"/>
      <c r="L355" s="77"/>
      <c r="M355" s="69">
        <f t="shared" si="26"/>
        <v>0</v>
      </c>
      <c r="N355" s="70"/>
    </row>
    <row r="356" spans="2:14" x14ac:dyDescent="0.3">
      <c r="B356" s="68"/>
      <c r="N356" s="70"/>
    </row>
    <row r="357" spans="2:14" x14ac:dyDescent="0.3">
      <c r="B357" s="78" t="s">
        <v>161</v>
      </c>
      <c r="C357" s="57" t="s">
        <v>627</v>
      </c>
      <c r="N357" s="70"/>
    </row>
    <row r="358" spans="2:14" x14ac:dyDescent="0.3">
      <c r="B358" s="68" t="s">
        <v>628</v>
      </c>
      <c r="C358" s="56" t="s">
        <v>506</v>
      </c>
      <c r="J358" s="76"/>
      <c r="K358" s="77"/>
      <c r="L358" s="77"/>
      <c r="M358" s="69">
        <f>ROUND(L358*K358,2)</f>
        <v>0</v>
      </c>
      <c r="N358" s="70"/>
    </row>
    <row r="359" spans="2:14" x14ac:dyDescent="0.3">
      <c r="B359" s="68" t="s">
        <v>629</v>
      </c>
      <c r="C359" s="56" t="s">
        <v>508</v>
      </c>
      <c r="J359" s="76"/>
      <c r="K359" s="77"/>
      <c r="L359" s="77"/>
      <c r="M359" s="69">
        <f>ROUND(L359*K359,2)</f>
        <v>0</v>
      </c>
      <c r="N359" s="70"/>
    </row>
    <row r="360" spans="2:14" x14ac:dyDescent="0.3">
      <c r="B360" s="68" t="s">
        <v>630</v>
      </c>
      <c r="C360" s="56" t="s">
        <v>633</v>
      </c>
      <c r="J360" s="76"/>
      <c r="K360" s="77"/>
      <c r="L360" s="77"/>
      <c r="M360" s="69">
        <f>ROUND(L360*K360,2)</f>
        <v>0</v>
      </c>
      <c r="N360" s="70"/>
    </row>
    <row r="361" spans="2:14" x14ac:dyDescent="0.3">
      <c r="B361" s="68" t="s">
        <v>631</v>
      </c>
      <c r="C361" s="340"/>
      <c r="D361" s="340"/>
      <c r="E361" s="340"/>
      <c r="F361" s="340"/>
      <c r="G361" s="340"/>
      <c r="H361" s="340"/>
      <c r="I361" s="83"/>
      <c r="J361" s="76"/>
      <c r="K361" s="77"/>
      <c r="L361" s="77"/>
      <c r="M361" s="69">
        <f>ROUND(L361*K361,2)</f>
        <v>0</v>
      </c>
      <c r="N361" s="70"/>
    </row>
    <row r="362" spans="2:14" x14ac:dyDescent="0.3">
      <c r="B362" s="68" t="s">
        <v>632</v>
      </c>
      <c r="C362" s="340"/>
      <c r="D362" s="340"/>
      <c r="E362" s="340"/>
      <c r="F362" s="340"/>
      <c r="G362" s="340"/>
      <c r="H362" s="340"/>
      <c r="I362" s="83"/>
      <c r="J362" s="76"/>
      <c r="K362" s="77"/>
      <c r="L362" s="77"/>
      <c r="M362" s="69">
        <f>ROUND(L362*K362,2)</f>
        <v>0</v>
      </c>
      <c r="N362" s="70"/>
    </row>
    <row r="363" spans="2:14" x14ac:dyDescent="0.3">
      <c r="B363" s="68"/>
      <c r="N363" s="70"/>
    </row>
    <row r="364" spans="2:14" x14ac:dyDescent="0.3">
      <c r="B364" s="78" t="s">
        <v>163</v>
      </c>
      <c r="C364" s="57" t="s">
        <v>634</v>
      </c>
      <c r="N364" s="70"/>
    </row>
    <row r="365" spans="2:14" x14ac:dyDescent="0.3">
      <c r="B365" s="68" t="s">
        <v>635</v>
      </c>
      <c r="C365" s="56" t="s">
        <v>511</v>
      </c>
      <c r="J365" s="76"/>
      <c r="K365" s="77"/>
      <c r="L365" s="77"/>
      <c r="M365" s="69">
        <f t="shared" ref="M365:M377" si="27">ROUND(L365*K365,2)</f>
        <v>0</v>
      </c>
      <c r="N365" s="70"/>
    </row>
    <row r="366" spans="2:14" x14ac:dyDescent="0.3">
      <c r="B366" s="68" t="s">
        <v>636</v>
      </c>
      <c r="C366" s="56" t="s">
        <v>512</v>
      </c>
      <c r="J366" s="76"/>
      <c r="K366" s="77"/>
      <c r="L366" s="77"/>
      <c r="M366" s="69">
        <f t="shared" si="27"/>
        <v>0</v>
      </c>
      <c r="N366" s="70"/>
    </row>
    <row r="367" spans="2:14" x14ac:dyDescent="0.3">
      <c r="B367" s="68" t="s">
        <v>637</v>
      </c>
      <c r="C367" s="56" t="s">
        <v>513</v>
      </c>
      <c r="J367" s="76"/>
      <c r="K367" s="77"/>
      <c r="L367" s="77"/>
      <c r="M367" s="69">
        <f t="shared" si="27"/>
        <v>0</v>
      </c>
      <c r="N367" s="70"/>
    </row>
    <row r="368" spans="2:14" x14ac:dyDescent="0.3">
      <c r="B368" s="68" t="s">
        <v>638</v>
      </c>
      <c r="C368" s="56" t="s">
        <v>514</v>
      </c>
      <c r="J368" s="76"/>
      <c r="K368" s="77"/>
      <c r="L368" s="77"/>
      <c r="M368" s="69">
        <f t="shared" si="27"/>
        <v>0</v>
      </c>
      <c r="N368" s="70"/>
    </row>
    <row r="369" spans="2:14" x14ac:dyDescent="0.3">
      <c r="B369" s="68" t="s">
        <v>639</v>
      </c>
      <c r="C369" s="56" t="s">
        <v>515</v>
      </c>
      <c r="J369" s="76"/>
      <c r="K369" s="77"/>
      <c r="L369" s="77"/>
      <c r="M369" s="69">
        <f t="shared" si="27"/>
        <v>0</v>
      </c>
      <c r="N369" s="70"/>
    </row>
    <row r="370" spans="2:14" x14ac:dyDescent="0.3">
      <c r="B370" s="68" t="s">
        <v>640</v>
      </c>
      <c r="C370" s="56" t="s">
        <v>516</v>
      </c>
      <c r="J370" s="76"/>
      <c r="K370" s="77"/>
      <c r="L370" s="77"/>
      <c r="M370" s="69">
        <f t="shared" si="27"/>
        <v>0</v>
      </c>
      <c r="N370" s="70"/>
    </row>
    <row r="371" spans="2:14" x14ac:dyDescent="0.3">
      <c r="B371" s="68" t="s">
        <v>641</v>
      </c>
      <c r="C371" s="56" t="s">
        <v>518</v>
      </c>
      <c r="J371" s="76"/>
      <c r="K371" s="77"/>
      <c r="L371" s="77"/>
      <c r="M371" s="69">
        <f t="shared" si="27"/>
        <v>0</v>
      </c>
      <c r="N371" s="70"/>
    </row>
    <row r="372" spans="2:14" x14ac:dyDescent="0.3">
      <c r="B372" s="68" t="s">
        <v>642</v>
      </c>
      <c r="C372" s="56" t="s">
        <v>519</v>
      </c>
      <c r="J372" s="76"/>
      <c r="K372" s="77"/>
      <c r="L372" s="77"/>
      <c r="M372" s="69">
        <f t="shared" si="27"/>
        <v>0</v>
      </c>
      <c r="N372" s="70"/>
    </row>
    <row r="373" spans="2:14" x14ac:dyDescent="0.3">
      <c r="B373" s="68" t="s">
        <v>643</v>
      </c>
      <c r="C373" s="56" t="s">
        <v>520</v>
      </c>
      <c r="J373" s="76"/>
      <c r="K373" s="77"/>
      <c r="L373" s="77"/>
      <c r="M373" s="69">
        <f t="shared" si="27"/>
        <v>0</v>
      </c>
      <c r="N373" s="70"/>
    </row>
    <row r="374" spans="2:14" x14ac:dyDescent="0.3">
      <c r="B374" s="68" t="s">
        <v>644</v>
      </c>
      <c r="C374" s="56" t="s">
        <v>521</v>
      </c>
      <c r="J374" s="76"/>
      <c r="K374" s="77"/>
      <c r="L374" s="77"/>
      <c r="M374" s="69">
        <f t="shared" si="27"/>
        <v>0</v>
      </c>
      <c r="N374" s="70"/>
    </row>
    <row r="375" spans="2:14" x14ac:dyDescent="0.3">
      <c r="B375" s="68" t="s">
        <v>645</v>
      </c>
      <c r="C375" s="340"/>
      <c r="D375" s="340"/>
      <c r="E375" s="340"/>
      <c r="F375" s="340"/>
      <c r="G375" s="340"/>
      <c r="H375" s="340"/>
      <c r="I375" s="83"/>
      <c r="J375" s="76"/>
      <c r="K375" s="77"/>
      <c r="L375" s="77"/>
      <c r="M375" s="69">
        <f t="shared" si="27"/>
        <v>0</v>
      </c>
      <c r="N375" s="70"/>
    </row>
    <row r="376" spans="2:14" x14ac:dyDescent="0.3">
      <c r="B376" s="68" t="s">
        <v>646</v>
      </c>
      <c r="C376" s="340"/>
      <c r="D376" s="340"/>
      <c r="E376" s="340"/>
      <c r="F376" s="340"/>
      <c r="G376" s="340"/>
      <c r="H376" s="340"/>
      <c r="I376" s="83"/>
      <c r="J376" s="76"/>
      <c r="K376" s="77"/>
      <c r="L376" s="77"/>
      <c r="M376" s="69">
        <f t="shared" si="27"/>
        <v>0</v>
      </c>
      <c r="N376" s="70"/>
    </row>
    <row r="377" spans="2:14" x14ac:dyDescent="0.3">
      <c r="B377" s="68" t="s">
        <v>647</v>
      </c>
      <c r="C377" s="340"/>
      <c r="D377" s="340"/>
      <c r="E377" s="340"/>
      <c r="F377" s="340"/>
      <c r="G377" s="340"/>
      <c r="H377" s="340"/>
      <c r="I377" s="83"/>
      <c r="J377" s="76"/>
      <c r="K377" s="77"/>
      <c r="L377" s="77"/>
      <c r="M377" s="69">
        <f t="shared" si="27"/>
        <v>0</v>
      </c>
      <c r="N377" s="70"/>
    </row>
    <row r="378" spans="2:14" x14ac:dyDescent="0.3">
      <c r="B378" s="68"/>
      <c r="N378" s="70"/>
    </row>
    <row r="379" spans="2:14" x14ac:dyDescent="0.3">
      <c r="B379" s="78" t="s">
        <v>752</v>
      </c>
      <c r="C379" s="57" t="s">
        <v>760</v>
      </c>
      <c r="N379" s="70"/>
    </row>
    <row r="380" spans="2:14" x14ac:dyDescent="0.3">
      <c r="B380" s="68" t="s">
        <v>753</v>
      </c>
      <c r="C380" s="56" t="s">
        <v>789</v>
      </c>
      <c r="J380" s="76"/>
      <c r="K380" s="77"/>
      <c r="L380" s="77"/>
      <c r="M380" s="69">
        <f t="shared" ref="M380:M386" si="28">ROUND(L380*K380,2)</f>
        <v>0</v>
      </c>
      <c r="N380" s="70"/>
    </row>
    <row r="381" spans="2:14" x14ac:dyDescent="0.3">
      <c r="B381" s="68" t="s">
        <v>754</v>
      </c>
      <c r="C381" s="56" t="s">
        <v>788</v>
      </c>
      <c r="J381" s="76"/>
      <c r="K381" s="77"/>
      <c r="L381" s="77"/>
      <c r="M381" s="69">
        <f t="shared" si="28"/>
        <v>0</v>
      </c>
      <c r="N381" s="70"/>
    </row>
    <row r="382" spans="2:14" x14ac:dyDescent="0.3">
      <c r="B382" s="68" t="s">
        <v>755</v>
      </c>
      <c r="C382" s="56" t="s">
        <v>790</v>
      </c>
      <c r="J382" s="76"/>
      <c r="K382" s="77"/>
      <c r="L382" s="77"/>
      <c r="M382" s="69">
        <f t="shared" si="28"/>
        <v>0</v>
      </c>
      <c r="N382" s="70"/>
    </row>
    <row r="383" spans="2:14" x14ac:dyDescent="0.3">
      <c r="B383" s="68" t="s">
        <v>756</v>
      </c>
      <c r="C383" s="340"/>
      <c r="D383" s="340"/>
      <c r="E383" s="340"/>
      <c r="F383" s="340"/>
      <c r="G383" s="340"/>
      <c r="H383" s="340"/>
      <c r="J383" s="76"/>
      <c r="K383" s="77"/>
      <c r="L383" s="77"/>
      <c r="M383" s="69">
        <f t="shared" si="28"/>
        <v>0</v>
      </c>
      <c r="N383" s="70"/>
    </row>
    <row r="384" spans="2:14" x14ac:dyDescent="0.3">
      <c r="B384" s="68" t="s">
        <v>757</v>
      </c>
      <c r="C384" s="340"/>
      <c r="D384" s="340"/>
      <c r="E384" s="340"/>
      <c r="F384" s="340"/>
      <c r="G384" s="340"/>
      <c r="H384" s="340"/>
      <c r="J384" s="76"/>
      <c r="K384" s="77"/>
      <c r="L384" s="77"/>
      <c r="M384" s="69">
        <f t="shared" si="28"/>
        <v>0</v>
      </c>
      <c r="N384" s="70"/>
    </row>
    <row r="385" spans="2:14" x14ac:dyDescent="0.3">
      <c r="B385" s="68" t="s">
        <v>758</v>
      </c>
      <c r="C385" s="340"/>
      <c r="D385" s="340"/>
      <c r="E385" s="340"/>
      <c r="F385" s="340"/>
      <c r="G385" s="340"/>
      <c r="H385" s="340"/>
      <c r="I385" s="83"/>
      <c r="J385" s="76"/>
      <c r="K385" s="77"/>
      <c r="L385" s="77"/>
      <c r="M385" s="69">
        <f t="shared" si="28"/>
        <v>0</v>
      </c>
      <c r="N385" s="70"/>
    </row>
    <row r="386" spans="2:14" x14ac:dyDescent="0.3">
      <c r="B386" s="68" t="s">
        <v>759</v>
      </c>
      <c r="C386" s="340"/>
      <c r="D386" s="340"/>
      <c r="E386" s="340"/>
      <c r="F386" s="340"/>
      <c r="G386" s="340"/>
      <c r="H386" s="340"/>
      <c r="I386" s="83"/>
      <c r="J386" s="76"/>
      <c r="K386" s="77"/>
      <c r="L386" s="77"/>
      <c r="M386" s="69">
        <f t="shared" si="28"/>
        <v>0</v>
      </c>
      <c r="N386" s="70"/>
    </row>
    <row r="387" spans="2:14" x14ac:dyDescent="0.3">
      <c r="B387" s="68"/>
      <c r="N387" s="70"/>
    </row>
    <row r="388" spans="2:14" x14ac:dyDescent="0.3">
      <c r="B388" s="78" t="s">
        <v>762</v>
      </c>
      <c r="C388" s="57" t="s">
        <v>761</v>
      </c>
      <c r="N388" s="70"/>
    </row>
    <row r="389" spans="2:14" x14ac:dyDescent="0.3">
      <c r="B389" s="68" t="s">
        <v>763</v>
      </c>
      <c r="C389" s="56" t="s">
        <v>447</v>
      </c>
      <c r="J389" s="76"/>
      <c r="K389" s="77"/>
      <c r="L389" s="77"/>
      <c r="M389" s="69">
        <f t="shared" ref="M389:M396" si="29">ROUND(L389*K389,2)</f>
        <v>0</v>
      </c>
      <c r="N389" s="70"/>
    </row>
    <row r="390" spans="2:14" x14ac:dyDescent="0.3">
      <c r="B390" s="68" t="s">
        <v>764</v>
      </c>
      <c r="C390" s="56" t="s">
        <v>449</v>
      </c>
      <c r="J390" s="76"/>
      <c r="K390" s="77"/>
      <c r="L390" s="77"/>
      <c r="M390" s="69">
        <f t="shared" si="29"/>
        <v>0</v>
      </c>
      <c r="N390" s="70"/>
    </row>
    <row r="391" spans="2:14" x14ac:dyDescent="0.3">
      <c r="B391" s="68" t="s">
        <v>765</v>
      </c>
      <c r="C391" s="56" t="s">
        <v>451</v>
      </c>
      <c r="J391" s="76"/>
      <c r="K391" s="77"/>
      <c r="L391" s="77"/>
      <c r="M391" s="69">
        <f t="shared" si="29"/>
        <v>0</v>
      </c>
      <c r="N391" s="70"/>
    </row>
    <row r="392" spans="2:14" x14ac:dyDescent="0.3">
      <c r="B392" s="68" t="s">
        <v>766</v>
      </c>
      <c r="C392" s="56" t="s">
        <v>453</v>
      </c>
      <c r="J392" s="76"/>
      <c r="K392" s="77"/>
      <c r="L392" s="77"/>
      <c r="M392" s="69">
        <f t="shared" si="29"/>
        <v>0</v>
      </c>
      <c r="N392" s="70"/>
    </row>
    <row r="393" spans="2:14" x14ac:dyDescent="0.3">
      <c r="B393" s="68" t="s">
        <v>767</v>
      </c>
      <c r="C393" s="56" t="s">
        <v>791</v>
      </c>
      <c r="J393" s="76"/>
      <c r="K393" s="77"/>
      <c r="L393" s="77"/>
      <c r="M393" s="69">
        <f t="shared" si="29"/>
        <v>0</v>
      </c>
      <c r="N393" s="70"/>
    </row>
    <row r="394" spans="2:14" x14ac:dyDescent="0.3">
      <c r="B394" s="68" t="s">
        <v>768</v>
      </c>
      <c r="C394" s="340"/>
      <c r="D394" s="340"/>
      <c r="E394" s="340"/>
      <c r="F394" s="340"/>
      <c r="G394" s="340"/>
      <c r="H394" s="340"/>
      <c r="J394" s="76"/>
      <c r="K394" s="77"/>
      <c r="L394" s="77"/>
      <c r="M394" s="69">
        <f t="shared" si="29"/>
        <v>0</v>
      </c>
      <c r="N394" s="70"/>
    </row>
    <row r="395" spans="2:14" x14ac:dyDescent="0.3">
      <c r="B395" s="68" t="s">
        <v>769</v>
      </c>
      <c r="C395" s="340"/>
      <c r="D395" s="340"/>
      <c r="E395" s="340"/>
      <c r="F395" s="340"/>
      <c r="G395" s="340"/>
      <c r="H395" s="340"/>
      <c r="I395" s="83"/>
      <c r="J395" s="76"/>
      <c r="K395" s="77"/>
      <c r="L395" s="77"/>
      <c r="M395" s="69">
        <f t="shared" si="29"/>
        <v>0</v>
      </c>
      <c r="N395" s="70"/>
    </row>
    <row r="396" spans="2:14" x14ac:dyDescent="0.3">
      <c r="B396" s="68" t="s">
        <v>770</v>
      </c>
      <c r="C396" s="340"/>
      <c r="D396" s="340"/>
      <c r="E396" s="340"/>
      <c r="F396" s="340"/>
      <c r="G396" s="340"/>
      <c r="H396" s="340"/>
      <c r="I396" s="83"/>
      <c r="J396" s="76"/>
      <c r="K396" s="77"/>
      <c r="L396" s="77"/>
      <c r="M396" s="69">
        <f t="shared" si="29"/>
        <v>0</v>
      </c>
      <c r="N396" s="70"/>
    </row>
    <row r="397" spans="2:14" x14ac:dyDescent="0.3">
      <c r="B397" s="68"/>
      <c r="N397" s="70"/>
    </row>
    <row r="398" spans="2:14" x14ac:dyDescent="0.3">
      <c r="B398" s="78" t="s">
        <v>771</v>
      </c>
      <c r="C398" s="57" t="s">
        <v>772</v>
      </c>
      <c r="N398" s="70"/>
    </row>
    <row r="399" spans="2:14" x14ac:dyDescent="0.3">
      <c r="B399" s="68" t="s">
        <v>773</v>
      </c>
      <c r="C399" s="340"/>
      <c r="D399" s="340"/>
      <c r="E399" s="340"/>
      <c r="F399" s="340"/>
      <c r="G399" s="340"/>
      <c r="H399" s="340"/>
      <c r="J399" s="76"/>
      <c r="K399" s="77"/>
      <c r="L399" s="77"/>
      <c r="M399" s="69">
        <f t="shared" ref="M399:M406" si="30">ROUND(L399*K399,2)</f>
        <v>0</v>
      </c>
      <c r="N399" s="70"/>
    </row>
    <row r="400" spans="2:14" x14ac:dyDescent="0.3">
      <c r="B400" s="68" t="s">
        <v>774</v>
      </c>
      <c r="C400" s="340"/>
      <c r="D400" s="340"/>
      <c r="E400" s="340"/>
      <c r="F400" s="340"/>
      <c r="G400" s="340"/>
      <c r="H400" s="340"/>
      <c r="J400" s="76"/>
      <c r="K400" s="77"/>
      <c r="L400" s="77"/>
      <c r="M400" s="69">
        <f t="shared" si="30"/>
        <v>0</v>
      </c>
      <c r="N400" s="70"/>
    </row>
    <row r="401" spans="2:14" x14ac:dyDescent="0.3">
      <c r="B401" s="68" t="s">
        <v>775</v>
      </c>
      <c r="C401" s="340"/>
      <c r="D401" s="340"/>
      <c r="E401" s="340"/>
      <c r="F401" s="340"/>
      <c r="G401" s="340"/>
      <c r="H401" s="340"/>
      <c r="J401" s="76"/>
      <c r="K401" s="77"/>
      <c r="L401" s="77"/>
      <c r="M401" s="69">
        <f t="shared" si="30"/>
        <v>0</v>
      </c>
      <c r="N401" s="70"/>
    </row>
    <row r="402" spans="2:14" x14ac:dyDescent="0.3">
      <c r="B402" s="68" t="s">
        <v>776</v>
      </c>
      <c r="C402" s="340"/>
      <c r="D402" s="340"/>
      <c r="E402" s="340"/>
      <c r="F402" s="340"/>
      <c r="G402" s="340"/>
      <c r="H402" s="340"/>
      <c r="J402" s="76"/>
      <c r="K402" s="77"/>
      <c r="L402" s="77"/>
      <c r="M402" s="69">
        <f t="shared" si="30"/>
        <v>0</v>
      </c>
      <c r="N402" s="70"/>
    </row>
    <row r="403" spans="2:14" x14ac:dyDescent="0.3">
      <c r="B403" s="68" t="s">
        <v>777</v>
      </c>
      <c r="C403" s="340"/>
      <c r="D403" s="340"/>
      <c r="E403" s="340"/>
      <c r="F403" s="340"/>
      <c r="G403" s="340"/>
      <c r="H403" s="340"/>
      <c r="J403" s="76"/>
      <c r="K403" s="77"/>
      <c r="L403" s="77"/>
      <c r="M403" s="69">
        <f t="shared" si="30"/>
        <v>0</v>
      </c>
      <c r="N403" s="70"/>
    </row>
    <row r="404" spans="2:14" x14ac:dyDescent="0.3">
      <c r="B404" s="68" t="s">
        <v>778</v>
      </c>
      <c r="C404" s="340"/>
      <c r="D404" s="340"/>
      <c r="E404" s="340"/>
      <c r="F404" s="340"/>
      <c r="G404" s="340"/>
      <c r="H404" s="340"/>
      <c r="J404" s="76"/>
      <c r="K404" s="77"/>
      <c r="L404" s="77"/>
      <c r="M404" s="69">
        <f t="shared" si="30"/>
        <v>0</v>
      </c>
      <c r="N404" s="70"/>
    </row>
    <row r="405" spans="2:14" x14ac:dyDescent="0.3">
      <c r="B405" s="68" t="s">
        <v>779</v>
      </c>
      <c r="C405" s="340"/>
      <c r="D405" s="340"/>
      <c r="E405" s="340"/>
      <c r="F405" s="340"/>
      <c r="G405" s="340"/>
      <c r="H405" s="340"/>
      <c r="I405" s="83"/>
      <c r="J405" s="76"/>
      <c r="K405" s="77"/>
      <c r="L405" s="77"/>
      <c r="M405" s="69">
        <f t="shared" si="30"/>
        <v>0</v>
      </c>
      <c r="N405" s="70"/>
    </row>
    <row r="406" spans="2:14" x14ac:dyDescent="0.3">
      <c r="B406" s="68" t="s">
        <v>780</v>
      </c>
      <c r="C406" s="340"/>
      <c r="D406" s="340"/>
      <c r="E406" s="340"/>
      <c r="F406" s="340"/>
      <c r="G406" s="340"/>
      <c r="H406" s="340"/>
      <c r="I406" s="83"/>
      <c r="J406" s="76"/>
      <c r="K406" s="77"/>
      <c r="L406" s="77"/>
      <c r="M406" s="69">
        <f t="shared" si="30"/>
        <v>0</v>
      </c>
      <c r="N406" s="70"/>
    </row>
    <row r="407" spans="2:14" x14ac:dyDescent="0.3">
      <c r="B407" s="71"/>
      <c r="C407" s="72" t="s">
        <v>529</v>
      </c>
      <c r="D407" s="73"/>
      <c r="E407" s="73"/>
      <c r="F407" s="73"/>
      <c r="G407" s="73"/>
      <c r="H407" s="73"/>
      <c r="I407" s="73"/>
      <c r="J407" s="74"/>
      <c r="K407" s="74"/>
      <c r="L407" s="74"/>
      <c r="M407" s="75">
        <f>SUM(M292:M406)</f>
        <v>0</v>
      </c>
      <c r="N407" s="133">
        <f>IF($M$430=0,0,M407/$M$430)</f>
        <v>0</v>
      </c>
    </row>
    <row r="409" spans="2:14" x14ac:dyDescent="0.3">
      <c r="B409" s="62">
        <v>9</v>
      </c>
      <c r="C409" s="63" t="s">
        <v>165</v>
      </c>
      <c r="D409" s="64"/>
      <c r="E409" s="64"/>
      <c r="F409" s="64"/>
      <c r="G409" s="64"/>
      <c r="H409" s="64"/>
      <c r="I409" s="64"/>
      <c r="J409" s="65"/>
      <c r="K409" s="65"/>
      <c r="L409" s="65"/>
      <c r="M409" s="65"/>
      <c r="N409" s="67"/>
    </row>
    <row r="410" spans="2:14" x14ac:dyDescent="0.3">
      <c r="B410" s="68" t="s">
        <v>166</v>
      </c>
      <c r="C410" s="56" t="s">
        <v>522</v>
      </c>
      <c r="J410" s="76"/>
      <c r="K410" s="77"/>
      <c r="L410" s="77"/>
      <c r="M410" s="69">
        <f>ROUND(L410*K410,2)</f>
        <v>0</v>
      </c>
      <c r="N410" s="70"/>
    </row>
    <row r="411" spans="2:14" x14ac:dyDescent="0.3">
      <c r="B411" s="68" t="s">
        <v>168</v>
      </c>
      <c r="C411" s="56" t="s">
        <v>523</v>
      </c>
      <c r="J411" s="76"/>
      <c r="K411" s="77"/>
      <c r="L411" s="77"/>
      <c r="M411" s="69">
        <f>ROUND(L411*K411,2)</f>
        <v>0</v>
      </c>
      <c r="N411" s="70"/>
    </row>
    <row r="412" spans="2:14" x14ac:dyDescent="0.3">
      <c r="B412" s="68" t="s">
        <v>170</v>
      </c>
      <c r="C412" s="340"/>
      <c r="D412" s="340"/>
      <c r="E412" s="340"/>
      <c r="F412" s="340"/>
      <c r="G412" s="340"/>
      <c r="H412" s="340"/>
      <c r="I412" s="83"/>
      <c r="J412" s="76"/>
      <c r="K412" s="77"/>
      <c r="L412" s="77"/>
      <c r="M412" s="69">
        <f>ROUND(L412*K412,2)</f>
        <v>0</v>
      </c>
      <c r="N412" s="70"/>
    </row>
    <row r="413" spans="2:14" x14ac:dyDescent="0.3">
      <c r="B413" s="68" t="s">
        <v>648</v>
      </c>
      <c r="C413" s="340"/>
      <c r="D413" s="340"/>
      <c r="E413" s="340"/>
      <c r="F413" s="340"/>
      <c r="G413" s="340"/>
      <c r="H413" s="340"/>
      <c r="I413" s="83"/>
      <c r="J413" s="76"/>
      <c r="K413" s="77"/>
      <c r="L413" s="77"/>
      <c r="M413" s="69">
        <f>ROUND(L413*K413,2)</f>
        <v>0</v>
      </c>
      <c r="N413" s="70"/>
    </row>
    <row r="414" spans="2:14" x14ac:dyDescent="0.3">
      <c r="B414" s="68" t="s">
        <v>817</v>
      </c>
      <c r="C414" s="340"/>
      <c r="D414" s="340"/>
      <c r="E414" s="340"/>
      <c r="F414" s="340"/>
      <c r="G414" s="340"/>
      <c r="H414" s="340"/>
      <c r="I414" s="83"/>
      <c r="J414" s="76"/>
      <c r="K414" s="77"/>
      <c r="L414" s="77"/>
      <c r="M414" s="69">
        <f>ROUND(L414*K414,2)</f>
        <v>0</v>
      </c>
      <c r="N414" s="70"/>
    </row>
    <row r="415" spans="2:14" x14ac:dyDescent="0.3">
      <c r="B415" s="71"/>
      <c r="C415" s="72" t="s">
        <v>529</v>
      </c>
      <c r="D415" s="73"/>
      <c r="E415" s="73"/>
      <c r="F415" s="73"/>
      <c r="G415" s="73"/>
      <c r="H415" s="73"/>
      <c r="I415" s="73"/>
      <c r="J415" s="74"/>
      <c r="K415" s="74"/>
      <c r="L415" s="74"/>
      <c r="M415" s="75">
        <f>SUM(M409:M414)</f>
        <v>0</v>
      </c>
      <c r="N415" s="133">
        <f>IF($M$430=0,0,M415/$M$430)</f>
        <v>0</v>
      </c>
    </row>
    <row r="417" spans="2:14" x14ac:dyDescent="0.3">
      <c r="B417" s="62">
        <v>10</v>
      </c>
      <c r="C417" s="63" t="s">
        <v>796</v>
      </c>
      <c r="D417" s="64"/>
      <c r="E417" s="64"/>
      <c r="F417" s="64"/>
      <c r="G417" s="64"/>
      <c r="H417" s="64"/>
      <c r="I417" s="64"/>
      <c r="J417" s="65"/>
      <c r="K417" s="65"/>
      <c r="L417" s="65"/>
      <c r="M417" s="65"/>
      <c r="N417" s="67"/>
    </row>
    <row r="418" spans="2:14" x14ac:dyDescent="0.3">
      <c r="B418" s="68" t="s">
        <v>175</v>
      </c>
      <c r="C418" s="56" t="s">
        <v>176</v>
      </c>
      <c r="D418" s="55"/>
      <c r="J418" s="76"/>
      <c r="K418" s="77"/>
      <c r="L418" s="77"/>
      <c r="M418" s="69">
        <f t="shared" ref="M418:M427" si="31">ROUND(L418*K418,2)</f>
        <v>0</v>
      </c>
      <c r="N418" s="70"/>
    </row>
    <row r="419" spans="2:14" x14ac:dyDescent="0.3">
      <c r="B419" s="68" t="s">
        <v>177</v>
      </c>
      <c r="C419" s="56" t="s">
        <v>178</v>
      </c>
      <c r="D419" s="55"/>
      <c r="J419" s="76"/>
      <c r="K419" s="77"/>
      <c r="L419" s="77"/>
      <c r="M419" s="69">
        <f t="shared" si="31"/>
        <v>0</v>
      </c>
      <c r="N419" s="70"/>
    </row>
    <row r="420" spans="2:14" x14ac:dyDescent="0.3">
      <c r="B420" s="68" t="s">
        <v>179</v>
      </c>
      <c r="C420" s="56" t="s">
        <v>180</v>
      </c>
      <c r="D420" s="55"/>
      <c r="I420" s="83"/>
      <c r="J420" s="76"/>
      <c r="K420" s="77"/>
      <c r="L420" s="77"/>
      <c r="M420" s="69">
        <f t="shared" si="31"/>
        <v>0</v>
      </c>
      <c r="N420" s="70"/>
    </row>
    <row r="421" spans="2:14" x14ac:dyDescent="0.3">
      <c r="B421" s="68" t="s">
        <v>181</v>
      </c>
      <c r="C421" s="56" t="s">
        <v>691</v>
      </c>
      <c r="D421" s="55"/>
      <c r="I421" s="83"/>
      <c r="J421" s="76"/>
      <c r="K421" s="77"/>
      <c r="L421" s="77"/>
      <c r="M421" s="69">
        <f t="shared" si="31"/>
        <v>0</v>
      </c>
      <c r="N421" s="70"/>
    </row>
    <row r="422" spans="2:14" x14ac:dyDescent="0.3">
      <c r="B422" s="68" t="s">
        <v>182</v>
      </c>
      <c r="C422" s="56" t="s">
        <v>692</v>
      </c>
      <c r="D422" s="55"/>
      <c r="I422" s="83"/>
      <c r="J422" s="76"/>
      <c r="K422" s="77"/>
      <c r="L422" s="77"/>
      <c r="M422" s="69">
        <f t="shared" si="31"/>
        <v>0</v>
      </c>
      <c r="N422" s="70"/>
    </row>
    <row r="423" spans="2:14" x14ac:dyDescent="0.3">
      <c r="B423" s="68" t="s">
        <v>183</v>
      </c>
      <c r="C423" s="56" t="s">
        <v>693</v>
      </c>
      <c r="D423" s="55"/>
      <c r="J423" s="76"/>
      <c r="K423" s="77"/>
      <c r="L423" s="77"/>
      <c r="M423" s="69">
        <f t="shared" si="31"/>
        <v>0</v>
      </c>
      <c r="N423" s="70"/>
    </row>
    <row r="424" spans="2:14" x14ac:dyDescent="0.3">
      <c r="B424" s="68" t="s">
        <v>184</v>
      </c>
      <c r="C424" s="56" t="s">
        <v>185</v>
      </c>
      <c r="D424" s="55"/>
      <c r="J424" s="76"/>
      <c r="K424" s="77"/>
      <c r="L424" s="77"/>
      <c r="M424" s="69">
        <f t="shared" si="31"/>
        <v>0</v>
      </c>
      <c r="N424" s="70"/>
    </row>
    <row r="425" spans="2:14" x14ac:dyDescent="0.3">
      <c r="B425" s="68" t="s">
        <v>186</v>
      </c>
      <c r="C425" s="56" t="s">
        <v>187</v>
      </c>
      <c r="D425" s="55"/>
      <c r="I425" s="83"/>
      <c r="J425" s="76"/>
      <c r="K425" s="77"/>
      <c r="L425" s="77"/>
      <c r="M425" s="69">
        <f t="shared" si="31"/>
        <v>0</v>
      </c>
      <c r="N425" s="70"/>
    </row>
    <row r="426" spans="2:14" x14ac:dyDescent="0.3">
      <c r="B426" s="68" t="s">
        <v>188</v>
      </c>
      <c r="C426" s="56" t="s">
        <v>189</v>
      </c>
      <c r="D426" s="55"/>
      <c r="I426" s="83"/>
      <c r="J426" s="76"/>
      <c r="K426" s="77"/>
      <c r="L426" s="77"/>
      <c r="M426" s="69">
        <f t="shared" si="31"/>
        <v>0</v>
      </c>
      <c r="N426" s="70"/>
    </row>
    <row r="427" spans="2:14" x14ac:dyDescent="0.3">
      <c r="B427" s="68" t="s">
        <v>190</v>
      </c>
      <c r="C427" s="56" t="s">
        <v>695</v>
      </c>
      <c r="D427" s="55"/>
      <c r="I427" s="83"/>
      <c r="J427" s="76"/>
      <c r="K427" s="77"/>
      <c r="L427" s="77"/>
      <c r="M427" s="69">
        <f t="shared" si="31"/>
        <v>0</v>
      </c>
      <c r="N427" s="70"/>
    </row>
    <row r="428" spans="2:14" x14ac:dyDescent="0.3">
      <c r="B428" s="71"/>
      <c r="C428" s="72" t="s">
        <v>529</v>
      </c>
      <c r="D428" s="73"/>
      <c r="E428" s="73"/>
      <c r="F428" s="73"/>
      <c r="G428" s="73"/>
      <c r="H428" s="73"/>
      <c r="I428" s="73"/>
      <c r="J428" s="74"/>
      <c r="K428" s="74"/>
      <c r="L428" s="74"/>
      <c r="M428" s="75">
        <f>SUM(M417:M427)</f>
        <v>0</v>
      </c>
      <c r="N428" s="133">
        <f>IF($M$430=0,0,M428/$M$430)</f>
        <v>0</v>
      </c>
    </row>
    <row r="430" spans="2:14" x14ac:dyDescent="0.3">
      <c r="B430" s="80"/>
      <c r="C430" s="63" t="s">
        <v>649</v>
      </c>
      <c r="D430" s="64"/>
      <c r="E430" s="64"/>
      <c r="F430" s="64"/>
      <c r="G430" s="64"/>
      <c r="H430" s="64"/>
      <c r="I430" s="64"/>
      <c r="J430" s="65"/>
      <c r="K430" s="65"/>
      <c r="L430" s="65"/>
      <c r="M430" s="81">
        <f>IF($I$17="não",SUM(M18:M429)/2,SUM(M18:M415)/2)</f>
        <v>0</v>
      </c>
      <c r="N430" s="67"/>
    </row>
    <row r="431" spans="2:14" x14ac:dyDescent="0.3">
      <c r="B431" s="68"/>
      <c r="C431" s="56" t="s">
        <v>41</v>
      </c>
      <c r="M431" s="82"/>
      <c r="N431" s="70"/>
    </row>
    <row r="432" spans="2:14" x14ac:dyDescent="0.3">
      <c r="B432" s="71"/>
      <c r="C432" s="72" t="s">
        <v>650</v>
      </c>
      <c r="D432" s="73"/>
      <c r="E432" s="73"/>
      <c r="F432" s="73"/>
      <c r="G432" s="73"/>
      <c r="H432" s="73"/>
      <c r="I432" s="73"/>
      <c r="J432" s="74"/>
      <c r="K432" s="74"/>
      <c r="L432" s="74"/>
      <c r="M432" s="75">
        <f>ROUND(M430*(1+M431),2)</f>
        <v>0</v>
      </c>
      <c r="N432" s="79"/>
    </row>
    <row r="434" spans="2:14" s="14" customFormat="1" x14ac:dyDescent="0.2">
      <c r="B434" s="55"/>
      <c r="C434" s="56"/>
      <c r="N434" s="15"/>
    </row>
    <row r="435" spans="2:14" s="14" customFormat="1" x14ac:dyDescent="0.2">
      <c r="J435" s="58" t="s">
        <v>174</v>
      </c>
      <c r="K435" s="59"/>
      <c r="L435" s="59"/>
      <c r="M435" s="59"/>
      <c r="N435" s="15"/>
    </row>
    <row r="436" spans="2:14" s="14" customFormat="1" ht="12" x14ac:dyDescent="0.25">
      <c r="J436" s="60" t="s">
        <v>57</v>
      </c>
      <c r="K436" s="260" t="str">
        <f>IF(FRE!$B$22="","",FRE!$B$22)</f>
        <v>{RESPONSÁVEL TÉCNICO}</v>
      </c>
      <c r="L436" s="260"/>
      <c r="M436" s="260"/>
      <c r="N436" s="15"/>
    </row>
    <row r="437" spans="2:14" s="14" customFormat="1" ht="12" x14ac:dyDescent="0.25">
      <c r="J437" s="60" t="s">
        <v>58</v>
      </c>
      <c r="K437" s="332" t="str">
        <f>IF(FRE!$M$22="","",FRE!$M$22)</f>
        <v>{DOC. RESPONSÁVEL}</v>
      </c>
      <c r="L437" s="332"/>
      <c r="M437" s="332"/>
      <c r="N437" s="15"/>
    </row>
    <row r="438" spans="2:14" s="14" customFormat="1" ht="12" x14ac:dyDescent="0.25">
      <c r="J438" s="60" t="s">
        <v>59</v>
      </c>
      <c r="K438" s="332" t="str">
        <f>IF(FRE!$J$22="","",FRE!$J$22)</f>
        <v>{CREA}</v>
      </c>
      <c r="L438" s="332"/>
      <c r="M438" s="332"/>
      <c r="N438" s="15"/>
    </row>
    <row r="439" spans="2:14" s="14" customFormat="1" x14ac:dyDescent="0.2">
      <c r="J439" s="15"/>
      <c r="K439" s="15"/>
      <c r="L439" s="15"/>
      <c r="M439" s="15"/>
      <c r="N439" s="15"/>
    </row>
    <row r="440" spans="2:14" s="14" customFormat="1" x14ac:dyDescent="0.2">
      <c r="J440" s="15"/>
      <c r="K440" s="15"/>
      <c r="L440" s="15"/>
      <c r="M440" s="15"/>
      <c r="N440" s="15"/>
    </row>
  </sheetData>
  <sheetProtection insertRows="0"/>
  <mergeCells count="95">
    <mergeCell ref="C122:H122"/>
    <mergeCell ref="C131:H131"/>
    <mergeCell ref="C140:H140"/>
    <mergeCell ref="C141:H141"/>
    <mergeCell ref="C383:H383"/>
    <mergeCell ref="C413:H413"/>
    <mergeCell ref="C245:H245"/>
    <mergeCell ref="C252:H252"/>
    <mergeCell ref="C259:H259"/>
    <mergeCell ref="C334:H334"/>
    <mergeCell ref="C404:H404"/>
    <mergeCell ref="C41:H41"/>
    <mergeCell ref="C80:H80"/>
    <mergeCell ref="C89:H89"/>
    <mergeCell ref="C101:H101"/>
    <mergeCell ref="C59:H59"/>
    <mergeCell ref="C50:H50"/>
    <mergeCell ref="C67:H67"/>
    <mergeCell ref="C68:H68"/>
    <mergeCell ref="C55:H55"/>
    <mergeCell ref="C56:H56"/>
    <mergeCell ref="C57:H57"/>
    <mergeCell ref="C58:H58"/>
    <mergeCell ref="C69:H69"/>
    <mergeCell ref="C81:H81"/>
    <mergeCell ref="C60:H60"/>
    <mergeCell ref="C152:H152"/>
    <mergeCell ref="C327:H327"/>
    <mergeCell ref="C400:H400"/>
    <mergeCell ref="C401:H401"/>
    <mergeCell ref="C345:H345"/>
    <mergeCell ref="C377:H377"/>
    <mergeCell ref="C198:H198"/>
    <mergeCell ref="C226:H226"/>
    <mergeCell ref="C237:H237"/>
    <mergeCell ref="C190:H190"/>
    <mergeCell ref="C310:H310"/>
    <mergeCell ref="C318:H318"/>
    <mergeCell ref="C335:H335"/>
    <mergeCell ref="C354:H354"/>
    <mergeCell ref="C158:H158"/>
    <mergeCell ref="C344:H344"/>
    <mergeCell ref="C402:H402"/>
    <mergeCell ref="C384:H384"/>
    <mergeCell ref="C394:H394"/>
    <mergeCell ref="C399:H399"/>
    <mergeCell ref="C396:H396"/>
    <mergeCell ref="C319:H319"/>
    <mergeCell ref="C326:H326"/>
    <mergeCell ref="C355:H355"/>
    <mergeCell ref="C288:H288"/>
    <mergeCell ref="C289:H289"/>
    <mergeCell ref="C309:H309"/>
    <mergeCell ref="K436:M436"/>
    <mergeCell ref="K437:M437"/>
    <mergeCell ref="K438:M438"/>
    <mergeCell ref="C414:H414"/>
    <mergeCell ref="C260:H260"/>
    <mergeCell ref="C385:H385"/>
    <mergeCell ref="C386:H386"/>
    <mergeCell ref="C412:H412"/>
    <mergeCell ref="C361:H361"/>
    <mergeCell ref="C362:H362"/>
    <mergeCell ref="C375:H375"/>
    <mergeCell ref="C376:H376"/>
    <mergeCell ref="C395:H395"/>
    <mergeCell ref="C405:H405"/>
    <mergeCell ref="C406:H406"/>
    <mergeCell ref="C403:H403"/>
    <mergeCell ref="C246:H246"/>
    <mergeCell ref="C253:H253"/>
    <mergeCell ref="C227:H227"/>
    <mergeCell ref="C238:H238"/>
    <mergeCell ref="C159:H159"/>
    <mergeCell ref="C171:H171"/>
    <mergeCell ref="C182:H182"/>
    <mergeCell ref="C191:H191"/>
    <mergeCell ref="C170:H170"/>
    <mergeCell ref="C181:H181"/>
    <mergeCell ref="L1:M1"/>
    <mergeCell ref="L2:M2"/>
    <mergeCell ref="C217:H217"/>
    <mergeCell ref="C216:H216"/>
    <mergeCell ref="C40:H40"/>
    <mergeCell ref="C42:H42"/>
    <mergeCell ref="C52:H52"/>
    <mergeCell ref="C90:H90"/>
    <mergeCell ref="C102:H102"/>
    <mergeCell ref="C113:H113"/>
    <mergeCell ref="C199:H199"/>
    <mergeCell ref="C61:H61"/>
    <mergeCell ref="C123:H123"/>
    <mergeCell ref="C132:H132"/>
    <mergeCell ref="C112:H112"/>
    <mergeCell ref="C153:H153"/>
  </mergeCells>
  <phoneticPr fontId="25" type="noConversion"/>
  <conditionalFormatting sqref="B417:N428">
    <cfRule type="expression" dxfId="32" priority="1" stopIfTrue="1">
      <formula>$I$17="sim"</formula>
    </cfRule>
  </conditionalFormatting>
  <printOptions horizontalCentered="1"/>
  <pageMargins left="0.51181102362204722" right="0.51181102362204722" top="0.78740157480314965" bottom="0.78740157480314965" header="0.31496062992125984" footer="0.31496062992125984"/>
  <pageSetup paperSize="9" scale="73" fitToHeight="0" orientation="portrait" horizontalDpi="4294967295" verticalDpi="4294967295" r:id="rId1"/>
  <headerFooter>
    <oddHeader>&amp;R&amp;"Arial,Normal"&amp;9V15_vigência 01.08.2022</oddHeader>
    <oddFooter>&amp;C&amp;8Página &amp;P de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42A6A-61E5-4830-877E-A956FE8862AE}">
  <sheetPr codeName="Plan5">
    <tabColor theme="9" tint="0.79998168889431442"/>
  </sheetPr>
  <dimension ref="A1:N101"/>
  <sheetViews>
    <sheetView showGridLines="0" view="pageBreakPreview" zoomScale="130" zoomScaleNormal="100" zoomScaleSheetLayoutView="130" workbookViewId="0">
      <selection activeCell="E2" sqref="E2"/>
    </sheetView>
  </sheetViews>
  <sheetFormatPr defaultColWidth="9.109375" defaultRowHeight="10.199999999999999" x14ac:dyDescent="0.3"/>
  <cols>
    <col min="1" max="1" width="1.109375" style="56" customWidth="1"/>
    <col min="2" max="2" width="9.109375" style="55"/>
    <col min="3" max="9" width="9.109375" style="56"/>
    <col min="10" max="12" width="9.109375" style="55"/>
    <col min="13" max="13" width="13.88671875" style="55" bestFit="1" customWidth="1"/>
    <col min="14" max="14" width="9.109375" style="55"/>
    <col min="15" max="16384" width="9.109375" style="56"/>
  </cols>
  <sheetData>
    <row r="1" spans="1:13" x14ac:dyDescent="0.2">
      <c r="A1" s="54" t="s">
        <v>60</v>
      </c>
      <c r="L1" s="242" t="s">
        <v>857</v>
      </c>
      <c r="M1" s="243"/>
    </row>
    <row r="2" spans="1:13" ht="15.6" x14ac:dyDescent="0.3">
      <c r="A2" s="54" t="s">
        <v>78</v>
      </c>
      <c r="E2" s="186" t="s">
        <v>733</v>
      </c>
      <c r="L2" s="244" t="s">
        <v>858</v>
      </c>
      <c r="M2" s="245"/>
    </row>
    <row r="3" spans="1:13" ht="8.1" customHeight="1" x14ac:dyDescent="0.3">
      <c r="A3" s="54" t="s">
        <v>79</v>
      </c>
    </row>
    <row r="4" spans="1:13" ht="12" x14ac:dyDescent="0.25">
      <c r="A4" s="54" t="s">
        <v>80</v>
      </c>
      <c r="E4" s="147" t="str">
        <f>FRE!$D$4</f>
        <v>Programa:</v>
      </c>
      <c r="F4" s="185" t="str">
        <f>FRE!$E$4</f>
        <v>Apoio à Produção de Imóveis - Pessoa Jurídica</v>
      </c>
    </row>
    <row r="5" spans="1:13" x14ac:dyDescent="0.3">
      <c r="A5" s="54" t="s">
        <v>81</v>
      </c>
    </row>
    <row r="17" spans="2:14" ht="24" customHeight="1" x14ac:dyDescent="0.3">
      <c r="J17" s="61" t="s">
        <v>651</v>
      </c>
      <c r="K17" s="61" t="s">
        <v>62</v>
      </c>
      <c r="L17" s="61" t="s">
        <v>652</v>
      </c>
      <c r="M17" s="61" t="s">
        <v>63</v>
      </c>
      <c r="N17" s="61" t="s">
        <v>653</v>
      </c>
    </row>
    <row r="18" spans="2:14" x14ac:dyDescent="0.3">
      <c r="B18" s="62">
        <v>1</v>
      </c>
      <c r="C18" s="63" t="s">
        <v>700</v>
      </c>
      <c r="D18" s="64"/>
      <c r="E18" s="64"/>
      <c r="F18" s="64"/>
      <c r="G18" s="64"/>
      <c r="H18" s="64"/>
      <c r="I18" s="64"/>
      <c r="J18" s="65"/>
      <c r="K18" s="65"/>
      <c r="L18" s="65"/>
      <c r="M18" s="65"/>
      <c r="N18" s="67"/>
    </row>
    <row r="19" spans="2:14" x14ac:dyDescent="0.3">
      <c r="B19" s="68" t="s">
        <v>84</v>
      </c>
      <c r="C19" s="56" t="s">
        <v>708</v>
      </c>
      <c r="J19" s="76" t="s">
        <v>710</v>
      </c>
      <c r="K19" s="77"/>
      <c r="L19" s="77"/>
      <c r="M19" s="69">
        <f>L19*K19</f>
        <v>0</v>
      </c>
      <c r="N19" s="70"/>
    </row>
    <row r="20" spans="2:14" x14ac:dyDescent="0.3">
      <c r="B20" s="68" t="s">
        <v>86</v>
      </c>
      <c r="C20" s="56" t="s">
        <v>709</v>
      </c>
      <c r="J20" s="76" t="s">
        <v>711</v>
      </c>
      <c r="K20" s="77"/>
      <c r="L20" s="77"/>
      <c r="M20" s="69">
        <f>L20*K20</f>
        <v>0</v>
      </c>
      <c r="N20" s="70"/>
    </row>
    <row r="21" spans="2:14" x14ac:dyDescent="0.3">
      <c r="B21" s="68" t="s">
        <v>88</v>
      </c>
      <c r="C21" s="56" t="s">
        <v>713</v>
      </c>
      <c r="J21" s="76" t="s">
        <v>712</v>
      </c>
      <c r="K21" s="77"/>
      <c r="L21" s="77"/>
      <c r="M21" s="69">
        <f>L21*K21</f>
        <v>0</v>
      </c>
      <c r="N21" s="70"/>
    </row>
    <row r="22" spans="2:14" x14ac:dyDescent="0.3">
      <c r="B22" s="68" t="s">
        <v>90</v>
      </c>
      <c r="C22" s="340"/>
      <c r="D22" s="340"/>
      <c r="E22" s="340"/>
      <c r="F22" s="340"/>
      <c r="G22" s="340"/>
      <c r="H22" s="340"/>
      <c r="I22" s="83"/>
      <c r="J22" s="76"/>
      <c r="K22" s="77"/>
      <c r="L22" s="77"/>
      <c r="M22" s="69">
        <f>L22*K22</f>
        <v>0</v>
      </c>
      <c r="N22" s="70"/>
    </row>
    <row r="23" spans="2:14" x14ac:dyDescent="0.3">
      <c r="B23" s="68" t="s">
        <v>92</v>
      </c>
      <c r="C23" s="340"/>
      <c r="D23" s="340"/>
      <c r="E23" s="340"/>
      <c r="F23" s="340"/>
      <c r="G23" s="340"/>
      <c r="H23" s="340"/>
      <c r="I23" s="83"/>
      <c r="J23" s="76"/>
      <c r="K23" s="77"/>
      <c r="L23" s="77"/>
      <c r="M23" s="69">
        <f>L23*K23</f>
        <v>0</v>
      </c>
      <c r="N23" s="70"/>
    </row>
    <row r="24" spans="2:14" x14ac:dyDescent="0.3">
      <c r="B24" s="71"/>
      <c r="C24" s="72" t="s">
        <v>529</v>
      </c>
      <c r="D24" s="73"/>
      <c r="E24" s="73"/>
      <c r="F24" s="73"/>
      <c r="G24" s="73"/>
      <c r="H24" s="73"/>
      <c r="I24" s="73"/>
      <c r="J24" s="74"/>
      <c r="K24" s="74"/>
      <c r="L24" s="74"/>
      <c r="M24" s="75">
        <f>SUM(M18:M23)</f>
        <v>0</v>
      </c>
      <c r="N24" s="133">
        <f>IF($M$91=0,0,M24/$M$91)</f>
        <v>0</v>
      </c>
    </row>
    <row r="26" spans="2:14" x14ac:dyDescent="0.3">
      <c r="B26" s="62">
        <v>2</v>
      </c>
      <c r="C26" s="63" t="s">
        <v>659</v>
      </c>
      <c r="D26" s="64"/>
      <c r="E26" s="64"/>
      <c r="F26" s="64"/>
      <c r="G26" s="64"/>
      <c r="H26" s="64"/>
      <c r="I26" s="64"/>
      <c r="J26" s="65"/>
      <c r="K26" s="65"/>
      <c r="L26" s="65"/>
      <c r="M26" s="65"/>
      <c r="N26" s="67"/>
    </row>
    <row r="27" spans="2:14" x14ac:dyDescent="0.3">
      <c r="B27" s="68" t="s">
        <v>105</v>
      </c>
      <c r="C27" s="56" t="s">
        <v>714</v>
      </c>
      <c r="D27" s="55"/>
      <c r="J27" s="76"/>
      <c r="K27" s="77"/>
      <c r="L27" s="77"/>
      <c r="M27" s="69">
        <f t="shared" ref="M27:M32" si="0">L27*K27</f>
        <v>0</v>
      </c>
      <c r="N27" s="70"/>
    </row>
    <row r="28" spans="2:14" x14ac:dyDescent="0.3">
      <c r="B28" s="68" t="s">
        <v>107</v>
      </c>
      <c r="C28" s="56" t="s">
        <v>660</v>
      </c>
      <c r="D28" s="55"/>
      <c r="J28" s="76" t="s">
        <v>711</v>
      </c>
      <c r="K28" s="77"/>
      <c r="L28" s="77"/>
      <c r="M28" s="69">
        <f t="shared" si="0"/>
        <v>0</v>
      </c>
      <c r="N28" s="70"/>
    </row>
    <row r="29" spans="2:14" x14ac:dyDescent="0.3">
      <c r="B29" s="68" t="s">
        <v>655</v>
      </c>
      <c r="C29" s="56" t="s">
        <v>715</v>
      </c>
      <c r="D29" s="55"/>
      <c r="J29" s="76" t="s">
        <v>665</v>
      </c>
      <c r="K29" s="77"/>
      <c r="L29" s="77"/>
      <c r="M29" s="69">
        <f t="shared" si="0"/>
        <v>0</v>
      </c>
      <c r="N29" s="70"/>
    </row>
    <row r="30" spans="2:14" x14ac:dyDescent="0.3">
      <c r="B30" s="68" t="s">
        <v>656</v>
      </c>
      <c r="C30" s="56" t="s">
        <v>716</v>
      </c>
      <c r="D30" s="55"/>
      <c r="J30" s="76" t="s">
        <v>723</v>
      </c>
      <c r="K30" s="77"/>
      <c r="L30" s="77"/>
      <c r="M30" s="69">
        <f t="shared" si="0"/>
        <v>0</v>
      </c>
      <c r="N30" s="70"/>
    </row>
    <row r="31" spans="2:14" x14ac:dyDescent="0.3">
      <c r="B31" s="68" t="s">
        <v>657</v>
      </c>
      <c r="C31" s="340"/>
      <c r="D31" s="340"/>
      <c r="E31" s="340"/>
      <c r="F31" s="340"/>
      <c r="G31" s="340"/>
      <c r="H31" s="340"/>
      <c r="J31" s="76"/>
      <c r="K31" s="77"/>
      <c r="L31" s="77"/>
      <c r="M31" s="69">
        <f t="shared" si="0"/>
        <v>0</v>
      </c>
      <c r="N31" s="70"/>
    </row>
    <row r="32" spans="2:14" x14ac:dyDescent="0.3">
      <c r="B32" s="68" t="s">
        <v>658</v>
      </c>
      <c r="C32" s="340"/>
      <c r="D32" s="340"/>
      <c r="E32" s="340"/>
      <c r="F32" s="340"/>
      <c r="G32" s="340"/>
      <c r="H32" s="340"/>
      <c r="J32" s="76"/>
      <c r="K32" s="77"/>
      <c r="L32" s="77"/>
      <c r="M32" s="69">
        <f t="shared" si="0"/>
        <v>0</v>
      </c>
      <c r="N32" s="70"/>
    </row>
    <row r="33" spans="2:14" x14ac:dyDescent="0.3">
      <c r="B33" s="71"/>
      <c r="C33" s="72" t="s">
        <v>529</v>
      </c>
      <c r="D33" s="73"/>
      <c r="E33" s="73"/>
      <c r="F33" s="73"/>
      <c r="G33" s="73"/>
      <c r="H33" s="73"/>
      <c r="I33" s="73"/>
      <c r="J33" s="74"/>
      <c r="K33" s="74"/>
      <c r="L33" s="74"/>
      <c r="M33" s="75">
        <f>SUM(M26:M32)</f>
        <v>0</v>
      </c>
      <c r="N33" s="133">
        <f>IF($M$91=0,0,M33/$M$91)</f>
        <v>0</v>
      </c>
    </row>
    <row r="35" spans="2:14" x14ac:dyDescent="0.3">
      <c r="B35" s="62">
        <v>3</v>
      </c>
      <c r="C35" s="63" t="s">
        <v>662</v>
      </c>
      <c r="D35" s="64"/>
      <c r="E35" s="64"/>
      <c r="F35" s="64"/>
      <c r="G35" s="64"/>
      <c r="H35" s="64"/>
      <c r="I35" s="64"/>
      <c r="J35" s="65"/>
      <c r="K35" s="65"/>
      <c r="L35" s="65"/>
      <c r="M35" s="65"/>
      <c r="N35" s="67"/>
    </row>
    <row r="36" spans="2:14" x14ac:dyDescent="0.3">
      <c r="B36" s="68" t="s">
        <v>231</v>
      </c>
      <c r="C36" s="56" t="s">
        <v>717</v>
      </c>
      <c r="J36" s="76" t="s">
        <v>665</v>
      </c>
      <c r="K36" s="77"/>
      <c r="L36" s="77"/>
      <c r="M36" s="69">
        <f>L36*K36</f>
        <v>0</v>
      </c>
      <c r="N36" s="70"/>
    </row>
    <row r="37" spans="2:14" x14ac:dyDescent="0.3">
      <c r="B37" s="68" t="s">
        <v>233</v>
      </c>
      <c r="C37" s="56" t="s">
        <v>724</v>
      </c>
      <c r="J37" s="76" t="s">
        <v>723</v>
      </c>
      <c r="K37" s="77"/>
      <c r="L37" s="77"/>
      <c r="M37" s="69">
        <f>L37*K37</f>
        <v>0</v>
      </c>
      <c r="N37" s="70"/>
    </row>
    <row r="38" spans="2:14" x14ac:dyDescent="0.3">
      <c r="B38" s="68" t="s">
        <v>235</v>
      </c>
      <c r="C38" s="56" t="s">
        <v>718</v>
      </c>
      <c r="J38" s="76" t="s">
        <v>723</v>
      </c>
      <c r="K38" s="77"/>
      <c r="L38" s="77"/>
      <c r="M38" s="69">
        <f>L38*K38</f>
        <v>0</v>
      </c>
      <c r="N38" s="70"/>
    </row>
    <row r="39" spans="2:14" x14ac:dyDescent="0.3">
      <c r="B39" s="68" t="s">
        <v>236</v>
      </c>
      <c r="C39" s="340"/>
      <c r="D39" s="340"/>
      <c r="E39" s="340"/>
      <c r="F39" s="340"/>
      <c r="G39" s="340"/>
      <c r="H39" s="340"/>
      <c r="J39" s="76"/>
      <c r="K39" s="77"/>
      <c r="L39" s="77"/>
      <c r="M39" s="69">
        <f>L39*K39</f>
        <v>0</v>
      </c>
      <c r="N39" s="70"/>
    </row>
    <row r="40" spans="2:14" x14ac:dyDescent="0.3">
      <c r="B40" s="68" t="s">
        <v>237</v>
      </c>
      <c r="C40" s="340"/>
      <c r="D40" s="340"/>
      <c r="E40" s="340"/>
      <c r="F40" s="340"/>
      <c r="G40" s="340"/>
      <c r="H40" s="340"/>
      <c r="I40" s="83"/>
      <c r="J40" s="76"/>
      <c r="K40" s="77"/>
      <c r="L40" s="77"/>
      <c r="M40" s="69">
        <f>L40*K40</f>
        <v>0</v>
      </c>
      <c r="N40" s="70"/>
    </row>
    <row r="41" spans="2:14" x14ac:dyDescent="0.3">
      <c r="B41" s="71"/>
      <c r="C41" s="72" t="s">
        <v>529</v>
      </c>
      <c r="D41" s="73"/>
      <c r="E41" s="73"/>
      <c r="F41" s="73"/>
      <c r="G41" s="73"/>
      <c r="H41" s="73"/>
      <c r="I41" s="73"/>
      <c r="J41" s="74"/>
      <c r="K41" s="74"/>
      <c r="L41" s="74"/>
      <c r="M41" s="75">
        <f>SUM(M35:M40)</f>
        <v>0</v>
      </c>
      <c r="N41" s="133">
        <f>IF($M$91=0,0,M41/$M$91)</f>
        <v>0</v>
      </c>
    </row>
    <row r="43" spans="2:14" x14ac:dyDescent="0.3">
      <c r="B43" s="62">
        <v>4</v>
      </c>
      <c r="C43" s="63" t="s">
        <v>663</v>
      </c>
      <c r="D43" s="64"/>
      <c r="E43" s="64"/>
      <c r="F43" s="64"/>
      <c r="G43" s="64"/>
      <c r="H43" s="64"/>
      <c r="I43" s="64"/>
      <c r="J43" s="65"/>
      <c r="K43" s="65"/>
      <c r="L43" s="65"/>
      <c r="M43" s="65"/>
      <c r="N43" s="67"/>
    </row>
    <row r="44" spans="2:14" x14ac:dyDescent="0.3">
      <c r="B44" s="68" t="s">
        <v>111</v>
      </c>
      <c r="C44" s="56" t="s">
        <v>719</v>
      </c>
      <c r="J44" s="76" t="s">
        <v>665</v>
      </c>
      <c r="K44" s="77"/>
      <c r="L44" s="77"/>
      <c r="M44" s="69">
        <f>L44*K44</f>
        <v>0</v>
      </c>
      <c r="N44" s="70"/>
    </row>
    <row r="45" spans="2:14" x14ac:dyDescent="0.3">
      <c r="B45" s="68" t="s">
        <v>550</v>
      </c>
      <c r="C45" s="56" t="s">
        <v>664</v>
      </c>
      <c r="J45" s="76" t="s">
        <v>725</v>
      </c>
      <c r="K45" s="77"/>
      <c r="L45" s="77"/>
      <c r="M45" s="69">
        <f>L45*K45</f>
        <v>0</v>
      </c>
      <c r="N45" s="70"/>
    </row>
    <row r="46" spans="2:14" x14ac:dyDescent="0.3">
      <c r="B46" s="68" t="s">
        <v>554</v>
      </c>
      <c r="C46" s="340"/>
      <c r="D46" s="340"/>
      <c r="E46" s="340"/>
      <c r="F46" s="340"/>
      <c r="G46" s="340"/>
      <c r="H46" s="340"/>
      <c r="J46" s="76"/>
      <c r="K46" s="77"/>
      <c r="L46" s="77"/>
      <c r="M46" s="69">
        <f>L46*K46</f>
        <v>0</v>
      </c>
      <c r="N46" s="70"/>
    </row>
    <row r="47" spans="2:14" x14ac:dyDescent="0.3">
      <c r="B47" s="68" t="s">
        <v>720</v>
      </c>
      <c r="C47" s="340"/>
      <c r="D47" s="340"/>
      <c r="E47" s="340"/>
      <c r="F47" s="340"/>
      <c r="G47" s="340"/>
      <c r="H47" s="340"/>
      <c r="J47" s="76"/>
      <c r="K47" s="77"/>
      <c r="L47" s="77"/>
      <c r="M47" s="69">
        <f>L47*K47</f>
        <v>0</v>
      </c>
      <c r="N47" s="70"/>
    </row>
    <row r="48" spans="2:14" x14ac:dyDescent="0.3">
      <c r="B48" s="71"/>
      <c r="C48" s="72" t="s">
        <v>529</v>
      </c>
      <c r="D48" s="73"/>
      <c r="E48" s="73"/>
      <c r="F48" s="73"/>
      <c r="G48" s="73"/>
      <c r="H48" s="73"/>
      <c r="I48" s="73"/>
      <c r="J48" s="74"/>
      <c r="K48" s="74"/>
      <c r="L48" s="74"/>
      <c r="M48" s="75">
        <f>SUM(M43:M47)</f>
        <v>0</v>
      </c>
      <c r="N48" s="133">
        <f>IF($M$91=0,0,M48/$M$91)</f>
        <v>0</v>
      </c>
    </row>
    <row r="50" spans="2:14" x14ac:dyDescent="0.3">
      <c r="B50" s="62">
        <v>5</v>
      </c>
      <c r="C50" s="63" t="s">
        <v>136</v>
      </c>
      <c r="D50" s="64"/>
      <c r="E50" s="64"/>
      <c r="F50" s="64"/>
      <c r="G50" s="64"/>
      <c r="H50" s="64"/>
      <c r="I50" s="64"/>
      <c r="J50" s="65"/>
      <c r="K50" s="65"/>
      <c r="L50" s="65"/>
      <c r="M50" s="65"/>
      <c r="N50" s="67"/>
    </row>
    <row r="51" spans="2:14" x14ac:dyDescent="0.3">
      <c r="B51" s="68" t="s">
        <v>119</v>
      </c>
      <c r="C51" s="56" t="s">
        <v>726</v>
      </c>
      <c r="E51" s="341"/>
      <c r="F51" s="341"/>
      <c r="G51" s="341"/>
      <c r="H51" s="341"/>
      <c r="J51" s="76" t="s">
        <v>712</v>
      </c>
      <c r="K51" s="77"/>
      <c r="L51" s="77"/>
      <c r="M51" s="69">
        <f>L51*K51</f>
        <v>0</v>
      </c>
      <c r="N51" s="70"/>
    </row>
    <row r="52" spans="2:14" x14ac:dyDescent="0.3">
      <c r="B52" s="68" t="s">
        <v>121</v>
      </c>
      <c r="C52" s="56" t="s">
        <v>727</v>
      </c>
      <c r="J52" s="76" t="s">
        <v>665</v>
      </c>
      <c r="K52" s="77"/>
      <c r="L52" s="77"/>
      <c r="M52" s="69">
        <f>L52*K52</f>
        <v>0</v>
      </c>
      <c r="N52" s="70"/>
    </row>
    <row r="53" spans="2:14" x14ac:dyDescent="0.3">
      <c r="B53" s="68" t="s">
        <v>565</v>
      </c>
      <c r="C53" s="56" t="s">
        <v>721</v>
      </c>
      <c r="J53" s="76" t="s">
        <v>712</v>
      </c>
      <c r="K53" s="77"/>
      <c r="L53" s="77"/>
      <c r="M53" s="69">
        <f>L53*K53</f>
        <v>0</v>
      </c>
      <c r="N53" s="70"/>
    </row>
    <row r="54" spans="2:14" x14ac:dyDescent="0.3">
      <c r="B54" s="68" t="s">
        <v>666</v>
      </c>
      <c r="C54" s="340"/>
      <c r="D54" s="340"/>
      <c r="E54" s="340"/>
      <c r="F54" s="340"/>
      <c r="G54" s="340"/>
      <c r="H54" s="340"/>
      <c r="J54" s="76"/>
      <c r="K54" s="77"/>
      <c r="L54" s="77"/>
      <c r="M54" s="69">
        <f>L54*K54</f>
        <v>0</v>
      </c>
      <c r="N54" s="70"/>
    </row>
    <row r="55" spans="2:14" x14ac:dyDescent="0.3">
      <c r="B55" s="68" t="s">
        <v>667</v>
      </c>
      <c r="C55" s="340"/>
      <c r="D55" s="340"/>
      <c r="E55" s="340"/>
      <c r="F55" s="340"/>
      <c r="G55" s="340"/>
      <c r="H55" s="340"/>
      <c r="I55" s="83"/>
      <c r="J55" s="76"/>
      <c r="K55" s="77"/>
      <c r="L55" s="77"/>
      <c r="M55" s="69">
        <f>L55*K55</f>
        <v>0</v>
      </c>
      <c r="N55" s="70"/>
    </row>
    <row r="56" spans="2:14" x14ac:dyDescent="0.3">
      <c r="B56" s="71"/>
      <c r="C56" s="72" t="s">
        <v>529</v>
      </c>
      <c r="D56" s="73"/>
      <c r="E56" s="73"/>
      <c r="F56" s="73"/>
      <c r="G56" s="73"/>
      <c r="H56" s="73"/>
      <c r="I56" s="73"/>
      <c r="J56" s="74"/>
      <c r="K56" s="74"/>
      <c r="L56" s="74"/>
      <c r="M56" s="75">
        <f>SUM(M50:M55)</f>
        <v>0</v>
      </c>
      <c r="N56" s="133">
        <f>IF($M$91=0,0,M56/$M$91)</f>
        <v>0</v>
      </c>
    </row>
    <row r="58" spans="2:14" x14ac:dyDescent="0.3">
      <c r="B58" s="62">
        <v>6</v>
      </c>
      <c r="C58" s="63" t="s">
        <v>668</v>
      </c>
      <c r="D58" s="64"/>
      <c r="E58" s="64"/>
      <c r="F58" s="64"/>
      <c r="G58" s="64"/>
      <c r="H58" s="64"/>
      <c r="I58" s="64"/>
      <c r="J58" s="65"/>
      <c r="K58" s="65"/>
      <c r="L58" s="65"/>
      <c r="M58" s="65"/>
      <c r="N58" s="67"/>
    </row>
    <row r="59" spans="2:14" x14ac:dyDescent="0.3">
      <c r="B59" s="68" t="s">
        <v>124</v>
      </c>
      <c r="C59" s="56" t="s">
        <v>728</v>
      </c>
      <c r="J59" s="76" t="s">
        <v>665</v>
      </c>
      <c r="K59" s="77"/>
      <c r="L59" s="77"/>
      <c r="M59" s="69">
        <f>L59*K59</f>
        <v>0</v>
      </c>
      <c r="N59" s="70"/>
    </row>
    <row r="60" spans="2:14" x14ac:dyDescent="0.3">
      <c r="B60" s="68" t="s">
        <v>126</v>
      </c>
      <c r="C60" s="56" t="s">
        <v>729</v>
      </c>
      <c r="J60" s="76" t="s">
        <v>665</v>
      </c>
      <c r="K60" s="77"/>
      <c r="L60" s="77"/>
      <c r="M60" s="69">
        <f>L60*K60</f>
        <v>0</v>
      </c>
      <c r="N60" s="70"/>
    </row>
    <row r="61" spans="2:14" x14ac:dyDescent="0.3">
      <c r="B61" s="68" t="s">
        <v>128</v>
      </c>
      <c r="C61" s="340"/>
      <c r="D61" s="340"/>
      <c r="E61" s="340"/>
      <c r="F61" s="340"/>
      <c r="G61" s="340"/>
      <c r="H61" s="340"/>
      <c r="I61" s="83"/>
      <c r="J61" s="76"/>
      <c r="K61" s="77"/>
      <c r="L61" s="77"/>
      <c r="M61" s="69">
        <f>L61*K61</f>
        <v>0</v>
      </c>
      <c r="N61" s="70"/>
    </row>
    <row r="62" spans="2:14" x14ac:dyDescent="0.3">
      <c r="B62" s="68" t="s">
        <v>130</v>
      </c>
      <c r="C62" s="340"/>
      <c r="D62" s="340"/>
      <c r="E62" s="340"/>
      <c r="F62" s="340"/>
      <c r="G62" s="340"/>
      <c r="H62" s="340"/>
      <c r="I62" s="83"/>
      <c r="J62" s="76"/>
      <c r="K62" s="77"/>
      <c r="L62" s="77"/>
      <c r="M62" s="69">
        <f>L62*K62</f>
        <v>0</v>
      </c>
      <c r="N62" s="70"/>
    </row>
    <row r="63" spans="2:14" x14ac:dyDescent="0.3">
      <c r="B63" s="71"/>
      <c r="C63" s="72" t="s">
        <v>529</v>
      </c>
      <c r="D63" s="73"/>
      <c r="E63" s="74"/>
      <c r="F63" s="73"/>
      <c r="G63" s="73"/>
      <c r="H63" s="73"/>
      <c r="I63" s="73"/>
      <c r="J63" s="74"/>
      <c r="K63" s="74"/>
      <c r="L63" s="74"/>
      <c r="M63" s="75">
        <f>SUM(M58:M62)</f>
        <v>0</v>
      </c>
      <c r="N63" s="133">
        <f>IF($M$91=0,0,M63/$M$91)</f>
        <v>0</v>
      </c>
    </row>
    <row r="64" spans="2:14" x14ac:dyDescent="0.3">
      <c r="E64" s="55"/>
    </row>
    <row r="65" spans="2:14" x14ac:dyDescent="0.3">
      <c r="B65" s="62">
        <v>7</v>
      </c>
      <c r="C65" s="63" t="s">
        <v>669</v>
      </c>
      <c r="D65" s="64"/>
      <c r="E65" s="65"/>
      <c r="F65" s="64"/>
      <c r="G65" s="64"/>
      <c r="H65" s="64"/>
      <c r="I65" s="64"/>
      <c r="J65" s="65"/>
      <c r="K65" s="65"/>
      <c r="L65" s="65"/>
      <c r="M65" s="65"/>
      <c r="N65" s="67"/>
    </row>
    <row r="66" spans="2:14" x14ac:dyDescent="0.3">
      <c r="B66" s="68" t="s">
        <v>137</v>
      </c>
      <c r="C66" s="56" t="s">
        <v>670</v>
      </c>
      <c r="E66" s="55"/>
      <c r="J66" s="76" t="s">
        <v>665</v>
      </c>
      <c r="K66" s="77"/>
      <c r="L66" s="77"/>
      <c r="M66" s="69">
        <f>L66*K66</f>
        <v>0</v>
      </c>
      <c r="N66" s="70"/>
    </row>
    <row r="67" spans="2:14" x14ac:dyDescent="0.3">
      <c r="B67" s="68" t="s">
        <v>139</v>
      </c>
      <c r="C67" s="56" t="s">
        <v>671</v>
      </c>
      <c r="J67" s="76" t="s">
        <v>665</v>
      </c>
      <c r="K67" s="77"/>
      <c r="L67" s="77"/>
      <c r="M67" s="69">
        <f>L67*K67</f>
        <v>0</v>
      </c>
      <c r="N67" s="70"/>
    </row>
    <row r="68" spans="2:14" x14ac:dyDescent="0.3">
      <c r="B68" s="68" t="s">
        <v>141</v>
      </c>
      <c r="C68" s="340"/>
      <c r="D68" s="340"/>
      <c r="E68" s="340"/>
      <c r="F68" s="340"/>
      <c r="G68" s="340"/>
      <c r="H68" s="340"/>
      <c r="J68" s="76"/>
      <c r="K68" s="77"/>
      <c r="L68" s="77"/>
      <c r="M68" s="69">
        <f>L68*K68</f>
        <v>0</v>
      </c>
      <c r="N68" s="70"/>
    </row>
    <row r="69" spans="2:14" x14ac:dyDescent="0.3">
      <c r="B69" s="68" t="s">
        <v>143</v>
      </c>
      <c r="C69" s="340"/>
      <c r="D69" s="340"/>
      <c r="E69" s="340"/>
      <c r="F69" s="340"/>
      <c r="G69" s="340"/>
      <c r="H69" s="340"/>
      <c r="J69" s="76"/>
      <c r="K69" s="77"/>
      <c r="L69" s="77"/>
      <c r="M69" s="69">
        <f>L69*K69</f>
        <v>0</v>
      </c>
      <c r="N69" s="70"/>
    </row>
    <row r="70" spans="2:14" x14ac:dyDescent="0.3">
      <c r="B70" s="71"/>
      <c r="C70" s="72" t="s">
        <v>529</v>
      </c>
      <c r="D70" s="73"/>
      <c r="E70" s="73"/>
      <c r="F70" s="73"/>
      <c r="G70" s="73"/>
      <c r="H70" s="73"/>
      <c r="I70" s="73"/>
      <c r="J70" s="74"/>
      <c r="K70" s="74"/>
      <c r="L70" s="74"/>
      <c r="M70" s="75">
        <f>SUM(M65:M69)</f>
        <v>0</v>
      </c>
      <c r="N70" s="133">
        <f>IF($M$91=0,0,M70/$M$91)</f>
        <v>0</v>
      </c>
    </row>
    <row r="71" spans="2:14" x14ac:dyDescent="0.3">
      <c r="C71" s="57"/>
      <c r="M71" s="84"/>
      <c r="N71" s="85"/>
    </row>
    <row r="72" spans="2:14" x14ac:dyDescent="0.3">
      <c r="B72" s="62">
        <v>8</v>
      </c>
      <c r="C72" s="63" t="s">
        <v>672</v>
      </c>
      <c r="D72" s="64"/>
      <c r="E72" s="65"/>
      <c r="F72" s="64"/>
      <c r="G72" s="64"/>
      <c r="H72" s="64"/>
      <c r="I72" s="64"/>
      <c r="J72" s="65"/>
      <c r="K72" s="65"/>
      <c r="L72" s="65"/>
      <c r="M72" s="65"/>
      <c r="N72" s="67"/>
    </row>
    <row r="73" spans="2:14" x14ac:dyDescent="0.3">
      <c r="B73" s="68" t="s">
        <v>150</v>
      </c>
      <c r="C73" s="56" t="s">
        <v>730</v>
      </c>
      <c r="E73" s="55"/>
      <c r="J73" s="76" t="s">
        <v>665</v>
      </c>
      <c r="K73" s="77"/>
      <c r="L73" s="77"/>
      <c r="M73" s="69">
        <f>L73*K73</f>
        <v>0</v>
      </c>
      <c r="N73" s="70"/>
    </row>
    <row r="74" spans="2:14" x14ac:dyDescent="0.3">
      <c r="B74" s="68" t="s">
        <v>152</v>
      </c>
      <c r="C74" s="56" t="s">
        <v>731</v>
      </c>
      <c r="E74" s="55"/>
      <c r="J74" s="76" t="s">
        <v>725</v>
      </c>
      <c r="K74" s="77"/>
      <c r="L74" s="77"/>
      <c r="M74" s="69">
        <f>L74*K74</f>
        <v>0</v>
      </c>
      <c r="N74" s="70"/>
    </row>
    <row r="75" spans="2:14" x14ac:dyDescent="0.3">
      <c r="B75" s="68" t="s">
        <v>153</v>
      </c>
      <c r="C75" s="340"/>
      <c r="D75" s="340"/>
      <c r="E75" s="340"/>
      <c r="F75" s="340"/>
      <c r="G75" s="340"/>
      <c r="H75" s="340"/>
      <c r="J75" s="76"/>
      <c r="K75" s="77"/>
      <c r="L75" s="77"/>
      <c r="M75" s="69">
        <f>L75*K75</f>
        <v>0</v>
      </c>
      <c r="N75" s="70"/>
    </row>
    <row r="76" spans="2:14" x14ac:dyDescent="0.3">
      <c r="B76" s="68" t="s">
        <v>155</v>
      </c>
      <c r="C76" s="340"/>
      <c r="D76" s="340"/>
      <c r="E76" s="340"/>
      <c r="F76" s="340"/>
      <c r="G76" s="340"/>
      <c r="H76" s="340"/>
      <c r="J76" s="76"/>
      <c r="K76" s="77"/>
      <c r="L76" s="77"/>
      <c r="M76" s="69">
        <f>L76*K76</f>
        <v>0</v>
      </c>
      <c r="N76" s="70"/>
    </row>
    <row r="77" spans="2:14" x14ac:dyDescent="0.3">
      <c r="B77" s="71"/>
      <c r="C77" s="72" t="s">
        <v>529</v>
      </c>
      <c r="D77" s="73"/>
      <c r="E77" s="73"/>
      <c r="F77" s="73"/>
      <c r="G77" s="73"/>
      <c r="H77" s="73"/>
      <c r="I77" s="73"/>
      <c r="J77" s="74"/>
      <c r="K77" s="74"/>
      <c r="L77" s="74"/>
      <c r="M77" s="75">
        <f>SUM(M72:M76)</f>
        <v>0</v>
      </c>
      <c r="N77" s="133">
        <f>IF($M$91=0,0,M77/$M$91)</f>
        <v>0</v>
      </c>
    </row>
    <row r="78" spans="2:14" x14ac:dyDescent="0.3">
      <c r="C78" s="57"/>
      <c r="M78" s="84"/>
      <c r="N78" s="85"/>
    </row>
    <row r="79" spans="2:14" x14ac:dyDescent="0.3">
      <c r="B79" s="62">
        <v>9</v>
      </c>
      <c r="C79" s="63" t="s">
        <v>673</v>
      </c>
      <c r="D79" s="64"/>
      <c r="E79" s="65"/>
      <c r="F79" s="64"/>
      <c r="G79" s="64"/>
      <c r="H79" s="64"/>
      <c r="I79" s="64"/>
      <c r="J79" s="65"/>
      <c r="K79" s="65"/>
      <c r="L79" s="65"/>
      <c r="M79" s="65"/>
      <c r="N79" s="67"/>
    </row>
    <row r="80" spans="2:14" x14ac:dyDescent="0.3">
      <c r="B80" s="68" t="s">
        <v>166</v>
      </c>
      <c r="C80" s="56" t="s">
        <v>732</v>
      </c>
      <c r="E80" s="341"/>
      <c r="F80" s="341"/>
      <c r="G80" s="341"/>
      <c r="H80" s="341"/>
      <c r="J80" s="76" t="s">
        <v>711</v>
      </c>
      <c r="K80" s="77"/>
      <c r="L80" s="77"/>
      <c r="M80" s="69">
        <f>L80*K80</f>
        <v>0</v>
      </c>
      <c r="N80" s="70"/>
    </row>
    <row r="81" spans="2:14" x14ac:dyDescent="0.3">
      <c r="B81" s="68" t="s">
        <v>168</v>
      </c>
      <c r="C81" s="340"/>
      <c r="D81" s="340"/>
      <c r="E81" s="340"/>
      <c r="F81" s="340"/>
      <c r="G81" s="340"/>
      <c r="H81" s="340"/>
      <c r="J81" s="76"/>
      <c r="K81" s="77"/>
      <c r="L81" s="77"/>
      <c r="M81" s="69">
        <f>L81*K81</f>
        <v>0</v>
      </c>
      <c r="N81" s="70"/>
    </row>
    <row r="82" spans="2:14" x14ac:dyDescent="0.3">
      <c r="B82" s="68" t="s">
        <v>170</v>
      </c>
      <c r="C82" s="340"/>
      <c r="D82" s="340"/>
      <c r="E82" s="340"/>
      <c r="F82" s="340"/>
      <c r="G82" s="340"/>
      <c r="H82" s="340"/>
      <c r="J82" s="76"/>
      <c r="K82" s="77"/>
      <c r="L82" s="77"/>
      <c r="M82" s="69">
        <f>L82*K82</f>
        <v>0</v>
      </c>
      <c r="N82" s="70"/>
    </row>
    <row r="83" spans="2:14" x14ac:dyDescent="0.3">
      <c r="B83" s="71"/>
      <c r="C83" s="72" t="s">
        <v>529</v>
      </c>
      <c r="D83" s="73"/>
      <c r="E83" s="73"/>
      <c r="F83" s="73"/>
      <c r="G83" s="73"/>
      <c r="H83" s="73"/>
      <c r="I83" s="73"/>
      <c r="J83" s="74"/>
      <c r="K83" s="74"/>
      <c r="L83" s="74"/>
      <c r="M83" s="75">
        <f>SUM(M79:M82)</f>
        <v>0</v>
      </c>
      <c r="N83" s="133">
        <f>IF($M$91=0,0,M83/$M$91)</f>
        <v>0</v>
      </c>
    </row>
    <row r="85" spans="2:14" x14ac:dyDescent="0.3">
      <c r="B85" s="62">
        <v>10</v>
      </c>
      <c r="C85" s="63" t="s">
        <v>694</v>
      </c>
      <c r="D85" s="64"/>
      <c r="E85" s="64"/>
      <c r="F85" s="64"/>
      <c r="G85" s="64"/>
      <c r="H85" s="64"/>
      <c r="I85" s="64"/>
      <c r="J85" s="65"/>
      <c r="K85" s="65"/>
      <c r="L85" s="65"/>
      <c r="M85" s="65"/>
      <c r="N85" s="67"/>
    </row>
    <row r="86" spans="2:14" x14ac:dyDescent="0.3">
      <c r="B86" s="68" t="s">
        <v>175</v>
      </c>
      <c r="C86" s="56" t="s">
        <v>722</v>
      </c>
      <c r="J86" s="76"/>
      <c r="K86" s="77"/>
      <c r="L86" s="77"/>
      <c r="M86" s="69">
        <f>L86*K86</f>
        <v>0</v>
      </c>
      <c r="N86" s="70"/>
    </row>
    <row r="87" spans="2:14" x14ac:dyDescent="0.3">
      <c r="B87" s="68" t="s">
        <v>177</v>
      </c>
      <c r="C87" s="340"/>
      <c r="D87" s="340"/>
      <c r="E87" s="340"/>
      <c r="F87" s="340"/>
      <c r="G87" s="340"/>
      <c r="H87" s="340"/>
      <c r="I87" s="83"/>
      <c r="J87" s="76"/>
      <c r="K87" s="77"/>
      <c r="L87" s="77"/>
      <c r="M87" s="69">
        <f>L87*K87</f>
        <v>0</v>
      </c>
      <c r="N87" s="70"/>
    </row>
    <row r="88" spans="2:14" x14ac:dyDescent="0.3">
      <c r="B88" s="68" t="s">
        <v>179</v>
      </c>
      <c r="C88" s="340"/>
      <c r="D88" s="340"/>
      <c r="E88" s="340"/>
      <c r="F88" s="340"/>
      <c r="G88" s="340"/>
      <c r="H88" s="340"/>
      <c r="I88" s="83"/>
      <c r="J88" s="76"/>
      <c r="K88" s="77"/>
      <c r="L88" s="77"/>
      <c r="M88" s="69">
        <f>L88*K88</f>
        <v>0</v>
      </c>
      <c r="N88" s="70"/>
    </row>
    <row r="89" spans="2:14" x14ac:dyDescent="0.3">
      <c r="B89" s="71"/>
      <c r="C89" s="72" t="s">
        <v>529</v>
      </c>
      <c r="D89" s="73"/>
      <c r="E89" s="73"/>
      <c r="F89" s="73"/>
      <c r="G89" s="73"/>
      <c r="H89" s="73"/>
      <c r="I89" s="73"/>
      <c r="J89" s="74"/>
      <c r="K89" s="74"/>
      <c r="L89" s="74"/>
      <c r="M89" s="75">
        <f>SUM(M85:M88)</f>
        <v>0</v>
      </c>
      <c r="N89" s="133">
        <f>IF($M$91=0,0,M89/$M$91)</f>
        <v>0</v>
      </c>
    </row>
    <row r="91" spans="2:14" x14ac:dyDescent="0.3">
      <c r="B91" s="80"/>
      <c r="C91" s="63" t="s">
        <v>649</v>
      </c>
      <c r="D91" s="64"/>
      <c r="E91" s="64"/>
      <c r="F91" s="64"/>
      <c r="G91" s="64"/>
      <c r="H91" s="64"/>
      <c r="I91" s="64"/>
      <c r="J91" s="65"/>
      <c r="K91" s="65"/>
      <c r="L91" s="65"/>
      <c r="M91" s="81">
        <f>SUM(M18:M90)/2</f>
        <v>0</v>
      </c>
      <c r="N91" s="67"/>
    </row>
    <row r="92" spans="2:14" x14ac:dyDescent="0.3">
      <c r="B92" s="68"/>
      <c r="C92" s="56" t="s">
        <v>41</v>
      </c>
      <c r="M92" s="82"/>
      <c r="N92" s="70"/>
    </row>
    <row r="93" spans="2:14" x14ac:dyDescent="0.3">
      <c r="B93" s="71"/>
      <c r="C93" s="72" t="s">
        <v>650</v>
      </c>
      <c r="D93" s="73"/>
      <c r="E93" s="73"/>
      <c r="F93" s="73"/>
      <c r="G93" s="73"/>
      <c r="H93" s="73"/>
      <c r="I93" s="73"/>
      <c r="J93" s="74"/>
      <c r="K93" s="74"/>
      <c r="L93" s="74"/>
      <c r="M93" s="75">
        <f>M91*(1+M92)</f>
        <v>0</v>
      </c>
      <c r="N93" s="79"/>
    </row>
    <row r="95" spans="2:14" s="14" customFormat="1" x14ac:dyDescent="0.2">
      <c r="B95" s="55"/>
      <c r="C95" s="56"/>
      <c r="N95" s="15"/>
    </row>
    <row r="96" spans="2:14" s="14" customFormat="1" x14ac:dyDescent="0.2">
      <c r="J96" s="58" t="s">
        <v>174</v>
      </c>
      <c r="K96" s="59"/>
      <c r="L96" s="59"/>
      <c r="M96" s="59"/>
      <c r="N96" s="15"/>
    </row>
    <row r="97" spans="10:14" s="14" customFormat="1" ht="12" x14ac:dyDescent="0.25">
      <c r="J97" s="60" t="s">
        <v>57</v>
      </c>
      <c r="K97" s="260" t="str">
        <f>IF(FRE!$B$22="","",FRE!$B$22)</f>
        <v>{RESPONSÁVEL TÉCNICO}</v>
      </c>
      <c r="L97" s="260"/>
      <c r="M97" s="260"/>
      <c r="N97" s="15"/>
    </row>
    <row r="98" spans="10:14" s="14" customFormat="1" ht="12" x14ac:dyDescent="0.25">
      <c r="J98" s="60" t="s">
        <v>58</v>
      </c>
      <c r="K98" s="332" t="str">
        <f>IF(FRE!$M$22="","",FRE!$M$22)</f>
        <v>{DOC. RESPONSÁVEL}</v>
      </c>
      <c r="L98" s="332"/>
      <c r="M98" s="332"/>
      <c r="N98" s="15"/>
    </row>
    <row r="99" spans="10:14" s="14" customFormat="1" ht="12" x14ac:dyDescent="0.25">
      <c r="J99" s="60" t="s">
        <v>59</v>
      </c>
      <c r="K99" s="332" t="str">
        <f>IF(FRE!$J$22="","",FRE!$J$22)</f>
        <v>{CREA}</v>
      </c>
      <c r="L99" s="332"/>
      <c r="M99" s="332"/>
      <c r="N99" s="15"/>
    </row>
    <row r="100" spans="10:14" s="14" customFormat="1" x14ac:dyDescent="0.2">
      <c r="J100" s="15"/>
      <c r="K100" s="15"/>
      <c r="L100" s="15"/>
      <c r="M100" s="15"/>
      <c r="N100" s="15"/>
    </row>
    <row r="101" spans="10:14" s="14" customFormat="1" x14ac:dyDescent="0.2">
      <c r="J101" s="15"/>
      <c r="K101" s="15"/>
      <c r="L101" s="15"/>
      <c r="M101" s="15"/>
      <c r="N101" s="15"/>
    </row>
  </sheetData>
  <sheetProtection insertRows="0"/>
  <mergeCells count="27">
    <mergeCell ref="E51:H51"/>
    <mergeCell ref="C61:H61"/>
    <mergeCell ref="C55:H55"/>
    <mergeCell ref="K97:M97"/>
    <mergeCell ref="E80:H80"/>
    <mergeCell ref="C75:H75"/>
    <mergeCell ref="C81:H81"/>
    <mergeCell ref="K99:M99"/>
    <mergeCell ref="K98:M98"/>
    <mergeCell ref="C88:H88"/>
    <mergeCell ref="C82:H82"/>
    <mergeCell ref="L1:M1"/>
    <mergeCell ref="L2:M2"/>
    <mergeCell ref="C32:H32"/>
    <mergeCell ref="C87:H87"/>
    <mergeCell ref="C54:H54"/>
    <mergeCell ref="C76:H76"/>
    <mergeCell ref="C68:H68"/>
    <mergeCell ref="C46:H46"/>
    <mergeCell ref="C40:H40"/>
    <mergeCell ref="C23:H23"/>
    <mergeCell ref="C69:H69"/>
    <mergeCell ref="C22:H22"/>
    <mergeCell ref="C31:H31"/>
    <mergeCell ref="C39:H39"/>
    <mergeCell ref="C62:H62"/>
    <mergeCell ref="C47:H47"/>
  </mergeCells>
  <phoneticPr fontId="25" type="noConversion"/>
  <printOptions horizontalCentered="1"/>
  <pageMargins left="0.51181102362204722" right="0.51181102362204722" top="0.78740157480314965" bottom="0.78740157480314965" header="0.31496062992125984" footer="0.31496062992125984"/>
  <pageSetup paperSize="9" scale="73" fitToHeight="7" orientation="portrait" horizontalDpi="4294967295" verticalDpi="4294967295" r:id="rId1"/>
  <headerFooter alignWithMargins="0">
    <oddHeader>&amp;R&amp;"Arial,Normal"&amp;9V15_vigência 01.08.2022</oddHeader>
    <oddFooter>&amp;C&amp;8Página &amp;P de &amp;N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35B37-2ED6-45AE-9AA8-67A276EF65CF}">
  <sheetPr codeName="Plan6">
    <tabColor rgb="FFFF0000"/>
    <pageSetUpPr fitToPage="1"/>
  </sheetPr>
  <dimension ref="A1:N366"/>
  <sheetViews>
    <sheetView showGridLines="0" view="pageBreakPreview" zoomScale="130" zoomScaleNormal="100" zoomScaleSheetLayoutView="130" workbookViewId="0">
      <selection activeCell="E2" sqref="E2"/>
    </sheetView>
  </sheetViews>
  <sheetFormatPr defaultColWidth="9.109375" defaultRowHeight="10.199999999999999" x14ac:dyDescent="0.3"/>
  <cols>
    <col min="1" max="1" width="1.109375" style="56" customWidth="1"/>
    <col min="2" max="2" width="9.109375" style="55"/>
    <col min="3" max="9" width="9.109375" style="56"/>
    <col min="10" max="12" width="9.109375" style="55"/>
    <col min="13" max="13" width="13.88671875" style="55" bestFit="1" customWidth="1"/>
    <col min="14" max="14" width="9.109375" style="55"/>
    <col min="15" max="16384" width="9.109375" style="56"/>
  </cols>
  <sheetData>
    <row r="1" spans="1:14" x14ac:dyDescent="0.2">
      <c r="A1" s="54" t="s">
        <v>60</v>
      </c>
      <c r="M1" s="242" t="s">
        <v>857</v>
      </c>
      <c r="N1" s="243"/>
    </row>
    <row r="2" spans="1:14" ht="15.6" x14ac:dyDescent="0.3">
      <c r="A2" s="54" t="s">
        <v>78</v>
      </c>
      <c r="E2" s="186" t="s">
        <v>654</v>
      </c>
      <c r="M2" s="244" t="s">
        <v>858</v>
      </c>
      <c r="N2" s="245"/>
    </row>
    <row r="3" spans="1:14" ht="8.1" customHeight="1" x14ac:dyDescent="0.3">
      <c r="A3" s="54" t="s">
        <v>79</v>
      </c>
    </row>
    <row r="4" spans="1:14" ht="12" x14ac:dyDescent="0.25">
      <c r="A4" s="54" t="s">
        <v>80</v>
      </c>
      <c r="E4" s="147" t="str">
        <f>FRE!$D$4</f>
        <v>Programa:</v>
      </c>
      <c r="F4" s="185" t="str">
        <f>FRE!$E$4</f>
        <v>Apoio à Produção de Imóveis - Pessoa Jurídica</v>
      </c>
    </row>
    <row r="5" spans="1:14" x14ac:dyDescent="0.3">
      <c r="A5" s="54" t="s">
        <v>81</v>
      </c>
    </row>
    <row r="17" spans="2:14" ht="24" customHeight="1" x14ac:dyDescent="0.3">
      <c r="J17" s="61" t="s">
        <v>651</v>
      </c>
      <c r="K17" s="61" t="s">
        <v>62</v>
      </c>
      <c r="L17" s="61" t="s">
        <v>652</v>
      </c>
      <c r="M17" s="61" t="s">
        <v>63</v>
      </c>
      <c r="N17" s="61" t="s">
        <v>653</v>
      </c>
    </row>
    <row r="18" spans="2:14" x14ac:dyDescent="0.3">
      <c r="B18" s="62" t="s">
        <v>201</v>
      </c>
      <c r="C18" s="63" t="s">
        <v>525</v>
      </c>
      <c r="D18" s="64"/>
      <c r="E18" s="64"/>
      <c r="F18" s="64"/>
      <c r="G18" s="64"/>
      <c r="H18" s="64"/>
      <c r="I18" s="64"/>
      <c r="J18" s="64"/>
      <c r="K18" s="64"/>
      <c r="L18" s="64"/>
      <c r="M18" s="66"/>
      <c r="N18" s="67"/>
    </row>
    <row r="19" spans="2:14" x14ac:dyDescent="0.3">
      <c r="B19" s="68" t="s">
        <v>84</v>
      </c>
      <c r="C19" s="56" t="s">
        <v>661</v>
      </c>
      <c r="J19" s="76"/>
      <c r="K19" s="77"/>
      <c r="L19" s="77"/>
      <c r="M19" s="69">
        <f t="shared" ref="M19:M28" si="0">L19*K19</f>
        <v>0</v>
      </c>
      <c r="N19" s="70"/>
    </row>
    <row r="20" spans="2:14" x14ac:dyDescent="0.3">
      <c r="B20" s="68" t="s">
        <v>86</v>
      </c>
      <c r="C20" s="56" t="s">
        <v>527</v>
      </c>
      <c r="J20" s="76"/>
      <c r="K20" s="77"/>
      <c r="L20" s="77"/>
      <c r="M20" s="69">
        <f t="shared" si="0"/>
        <v>0</v>
      </c>
      <c r="N20" s="70"/>
    </row>
    <row r="21" spans="2:14" x14ac:dyDescent="0.3">
      <c r="B21" s="68" t="s">
        <v>88</v>
      </c>
      <c r="C21" s="56" t="s">
        <v>526</v>
      </c>
      <c r="J21" s="76"/>
      <c r="K21" s="77"/>
      <c r="L21" s="77"/>
      <c r="M21" s="69">
        <f t="shared" si="0"/>
        <v>0</v>
      </c>
      <c r="N21" s="70"/>
    </row>
    <row r="22" spans="2:14" x14ac:dyDescent="0.3">
      <c r="B22" s="68" t="s">
        <v>90</v>
      </c>
      <c r="C22" s="56" t="s">
        <v>528</v>
      </c>
      <c r="J22" s="76"/>
      <c r="K22" s="77"/>
      <c r="L22" s="77"/>
      <c r="M22" s="69">
        <f t="shared" si="0"/>
        <v>0</v>
      </c>
      <c r="N22" s="70"/>
    </row>
    <row r="23" spans="2:14" x14ac:dyDescent="0.3">
      <c r="B23" s="68" t="s">
        <v>92</v>
      </c>
      <c r="C23" s="56" t="s">
        <v>202</v>
      </c>
      <c r="J23" s="76"/>
      <c r="K23" s="77"/>
      <c r="L23" s="77"/>
      <c r="M23" s="69">
        <f t="shared" si="0"/>
        <v>0</v>
      </c>
      <c r="N23" s="70"/>
    </row>
    <row r="24" spans="2:14" x14ac:dyDescent="0.3">
      <c r="B24" s="68" t="s">
        <v>94</v>
      </c>
      <c r="C24" s="56" t="s">
        <v>203</v>
      </c>
      <c r="J24" s="76"/>
      <c r="K24" s="77"/>
      <c r="L24" s="77"/>
      <c r="M24" s="69">
        <f t="shared" si="0"/>
        <v>0</v>
      </c>
      <c r="N24" s="70"/>
    </row>
    <row r="25" spans="2:14" x14ac:dyDescent="0.3">
      <c r="B25" s="68" t="s">
        <v>96</v>
      </c>
      <c r="C25" s="56" t="s">
        <v>204</v>
      </c>
      <c r="J25" s="76"/>
      <c r="K25" s="77"/>
      <c r="L25" s="77"/>
      <c r="M25" s="69">
        <f t="shared" si="0"/>
        <v>0</v>
      </c>
      <c r="N25" s="70"/>
    </row>
    <row r="26" spans="2:14" x14ac:dyDescent="0.3">
      <c r="B26" s="68" t="s">
        <v>98</v>
      </c>
      <c r="C26" s="340"/>
      <c r="D26" s="340"/>
      <c r="E26" s="340"/>
      <c r="F26" s="340"/>
      <c r="G26" s="340"/>
      <c r="H26" s="340"/>
      <c r="I26" s="83"/>
      <c r="J26" s="76"/>
      <c r="K26" s="77"/>
      <c r="L26" s="77"/>
      <c r="M26" s="69">
        <f t="shared" si="0"/>
        <v>0</v>
      </c>
      <c r="N26" s="70"/>
    </row>
    <row r="27" spans="2:14" x14ac:dyDescent="0.3">
      <c r="B27" s="68" t="s">
        <v>100</v>
      </c>
      <c r="C27" s="340"/>
      <c r="D27" s="340"/>
      <c r="E27" s="340"/>
      <c r="F27" s="340"/>
      <c r="G27" s="340"/>
      <c r="H27" s="340"/>
      <c r="I27" s="83"/>
      <c r="J27" s="76"/>
      <c r="K27" s="77"/>
      <c r="L27" s="77"/>
      <c r="M27" s="69">
        <f t="shared" si="0"/>
        <v>0</v>
      </c>
      <c r="N27" s="70"/>
    </row>
    <row r="28" spans="2:14" x14ac:dyDescent="0.3">
      <c r="B28" s="68" t="s">
        <v>102</v>
      </c>
      <c r="C28" s="340"/>
      <c r="D28" s="340"/>
      <c r="E28" s="340"/>
      <c r="F28" s="340"/>
      <c r="G28" s="340"/>
      <c r="H28" s="340"/>
      <c r="I28" s="83"/>
      <c r="J28" s="76"/>
      <c r="K28" s="77"/>
      <c r="L28" s="77"/>
      <c r="M28" s="69">
        <f t="shared" si="0"/>
        <v>0</v>
      </c>
      <c r="N28" s="70"/>
    </row>
    <row r="29" spans="2:14" x14ac:dyDescent="0.3">
      <c r="B29" s="71"/>
      <c r="C29" s="72" t="s">
        <v>529</v>
      </c>
      <c r="D29" s="73"/>
      <c r="E29" s="73"/>
      <c r="F29" s="73"/>
      <c r="G29" s="73"/>
      <c r="H29" s="73"/>
      <c r="I29" s="73"/>
      <c r="J29" s="73"/>
      <c r="K29" s="73"/>
      <c r="L29" s="73"/>
      <c r="M29" s="75">
        <f>SUM(M18:M28)</f>
        <v>0</v>
      </c>
      <c r="N29" s="133">
        <f>IF($M$356=0,0,M29/$M$356)</f>
        <v>0</v>
      </c>
    </row>
    <row r="30" spans="2:14" x14ac:dyDescent="0.3">
      <c r="C30" s="57"/>
    </row>
    <row r="31" spans="2:14" x14ac:dyDescent="0.3">
      <c r="B31" s="62">
        <v>2</v>
      </c>
      <c r="C31" s="63" t="s">
        <v>690</v>
      </c>
      <c r="D31" s="64"/>
      <c r="E31" s="64"/>
      <c r="F31" s="64"/>
      <c r="G31" s="64"/>
      <c r="H31" s="64"/>
      <c r="I31" s="64"/>
      <c r="J31" s="65"/>
      <c r="K31" s="65"/>
      <c r="L31" s="65"/>
      <c r="M31" s="65"/>
      <c r="N31" s="67"/>
    </row>
    <row r="32" spans="2:14" x14ac:dyDescent="0.3">
      <c r="B32" s="78" t="s">
        <v>105</v>
      </c>
      <c r="C32" s="57" t="s">
        <v>532</v>
      </c>
      <c r="N32" s="70"/>
    </row>
    <row r="33" spans="2:14" x14ac:dyDescent="0.3">
      <c r="B33" s="68" t="s">
        <v>205</v>
      </c>
      <c r="C33" s="56" t="s">
        <v>206</v>
      </c>
      <c r="J33" s="76"/>
      <c r="K33" s="77"/>
      <c r="L33" s="77"/>
      <c r="M33" s="69">
        <f t="shared" ref="M33:M41" si="1">L33*K33</f>
        <v>0</v>
      </c>
      <c r="N33" s="70"/>
    </row>
    <row r="34" spans="2:14" x14ac:dyDescent="0.3">
      <c r="B34" s="68" t="s">
        <v>207</v>
      </c>
      <c r="C34" s="56" t="s">
        <v>208</v>
      </c>
      <c r="J34" s="76"/>
      <c r="K34" s="77"/>
      <c r="L34" s="77"/>
      <c r="M34" s="69">
        <f t="shared" si="1"/>
        <v>0</v>
      </c>
      <c r="N34" s="70"/>
    </row>
    <row r="35" spans="2:14" x14ac:dyDescent="0.3">
      <c r="B35" s="68" t="s">
        <v>209</v>
      </c>
      <c r="C35" s="56" t="s">
        <v>210</v>
      </c>
      <c r="J35" s="76"/>
      <c r="K35" s="77"/>
      <c r="L35" s="77"/>
      <c r="M35" s="69">
        <f t="shared" si="1"/>
        <v>0</v>
      </c>
      <c r="N35" s="70"/>
    </row>
    <row r="36" spans="2:14" x14ac:dyDescent="0.3">
      <c r="B36" s="68" t="s">
        <v>212</v>
      </c>
      <c r="C36" s="56" t="s">
        <v>213</v>
      </c>
      <c r="J36" s="76"/>
      <c r="K36" s="77"/>
      <c r="L36" s="77"/>
      <c r="M36" s="69">
        <f t="shared" si="1"/>
        <v>0</v>
      </c>
      <c r="N36" s="70"/>
    </row>
    <row r="37" spans="2:14" x14ac:dyDescent="0.3">
      <c r="B37" s="68" t="s">
        <v>214</v>
      </c>
      <c r="C37" s="56" t="s">
        <v>215</v>
      </c>
      <c r="J37" s="76"/>
      <c r="K37" s="77"/>
      <c r="L37" s="77"/>
      <c r="M37" s="69">
        <f t="shared" si="1"/>
        <v>0</v>
      </c>
      <c r="N37" s="70"/>
    </row>
    <row r="38" spans="2:14" x14ac:dyDescent="0.3">
      <c r="B38" s="68" t="s">
        <v>216</v>
      </c>
      <c r="C38" s="56" t="s">
        <v>217</v>
      </c>
      <c r="D38" s="56" t="s">
        <v>211</v>
      </c>
      <c r="J38" s="76"/>
      <c r="K38" s="77"/>
      <c r="L38" s="77"/>
      <c r="M38" s="69">
        <f t="shared" si="1"/>
        <v>0</v>
      </c>
      <c r="N38" s="70"/>
    </row>
    <row r="39" spans="2:14" x14ac:dyDescent="0.3">
      <c r="B39" s="68" t="s">
        <v>218</v>
      </c>
      <c r="C39" s="56" t="s">
        <v>219</v>
      </c>
      <c r="J39" s="76"/>
      <c r="K39" s="77"/>
      <c r="L39" s="77"/>
      <c r="M39" s="69">
        <f t="shared" si="1"/>
        <v>0</v>
      </c>
      <c r="N39" s="70"/>
    </row>
    <row r="40" spans="2:14" x14ac:dyDescent="0.3">
      <c r="B40" s="68" t="s">
        <v>531</v>
      </c>
      <c r="C40" s="340"/>
      <c r="D40" s="340"/>
      <c r="E40" s="340"/>
      <c r="F40" s="340"/>
      <c r="G40" s="340"/>
      <c r="H40" s="340"/>
      <c r="I40" s="83"/>
      <c r="J40" s="76"/>
      <c r="K40" s="77"/>
      <c r="L40" s="77"/>
      <c r="M40" s="69">
        <f t="shared" si="1"/>
        <v>0</v>
      </c>
      <c r="N40" s="70"/>
    </row>
    <row r="41" spans="2:14" x14ac:dyDescent="0.3">
      <c r="B41" s="68" t="s">
        <v>530</v>
      </c>
      <c r="C41" s="340"/>
      <c r="D41" s="340"/>
      <c r="E41" s="340"/>
      <c r="F41" s="340"/>
      <c r="G41" s="340"/>
      <c r="H41" s="340"/>
      <c r="I41" s="83"/>
      <c r="J41" s="76"/>
      <c r="K41" s="77"/>
      <c r="L41" s="77"/>
      <c r="M41" s="69">
        <f t="shared" si="1"/>
        <v>0</v>
      </c>
      <c r="N41" s="70"/>
    </row>
    <row r="42" spans="2:14" x14ac:dyDescent="0.3">
      <c r="B42" s="68"/>
      <c r="N42" s="70"/>
    </row>
    <row r="43" spans="2:14" x14ac:dyDescent="0.3">
      <c r="B43" s="78" t="s">
        <v>107</v>
      </c>
      <c r="C43" s="57" t="s">
        <v>533</v>
      </c>
      <c r="N43" s="70"/>
    </row>
    <row r="44" spans="2:14" x14ac:dyDescent="0.3">
      <c r="B44" s="68" t="s">
        <v>220</v>
      </c>
      <c r="C44" s="56" t="s">
        <v>221</v>
      </c>
      <c r="J44" s="76"/>
      <c r="K44" s="77"/>
      <c r="L44" s="77"/>
      <c r="M44" s="69">
        <f t="shared" ref="M44:M50" si="2">L44*K44</f>
        <v>0</v>
      </c>
      <c r="N44" s="70"/>
    </row>
    <row r="45" spans="2:14" x14ac:dyDescent="0.3">
      <c r="B45" s="68" t="s">
        <v>222</v>
      </c>
      <c r="C45" s="56" t="s">
        <v>223</v>
      </c>
      <c r="J45" s="76"/>
      <c r="K45" s="77"/>
      <c r="L45" s="77"/>
      <c r="M45" s="69">
        <f t="shared" si="2"/>
        <v>0</v>
      </c>
      <c r="N45" s="70"/>
    </row>
    <row r="46" spans="2:14" x14ac:dyDescent="0.3">
      <c r="B46" s="68" t="s">
        <v>224</v>
      </c>
      <c r="C46" s="56" t="s">
        <v>225</v>
      </c>
      <c r="J46" s="76"/>
      <c r="K46" s="77"/>
      <c r="L46" s="77"/>
      <c r="M46" s="69">
        <f t="shared" si="2"/>
        <v>0</v>
      </c>
      <c r="N46" s="70"/>
    </row>
    <row r="47" spans="2:14" x14ac:dyDescent="0.3">
      <c r="B47" s="68" t="s">
        <v>226</v>
      </c>
      <c r="C47" s="56" t="s">
        <v>227</v>
      </c>
      <c r="J47" s="76"/>
      <c r="K47" s="77"/>
      <c r="L47" s="77"/>
      <c r="M47" s="69">
        <f t="shared" si="2"/>
        <v>0</v>
      </c>
      <c r="N47" s="70"/>
    </row>
    <row r="48" spans="2:14" x14ac:dyDescent="0.3">
      <c r="B48" s="68" t="s">
        <v>228</v>
      </c>
      <c r="C48" s="56" t="s">
        <v>229</v>
      </c>
      <c r="J48" s="76"/>
      <c r="K48" s="77"/>
      <c r="L48" s="77"/>
      <c r="M48" s="69">
        <f t="shared" si="2"/>
        <v>0</v>
      </c>
      <c r="N48" s="70"/>
    </row>
    <row r="49" spans="2:14" x14ac:dyDescent="0.3">
      <c r="B49" s="68" t="s">
        <v>230</v>
      </c>
      <c r="C49" s="340"/>
      <c r="D49" s="340"/>
      <c r="E49" s="340"/>
      <c r="F49" s="340"/>
      <c r="G49" s="340"/>
      <c r="H49" s="340"/>
      <c r="I49" s="83"/>
      <c r="J49" s="76"/>
      <c r="K49" s="77"/>
      <c r="L49" s="77"/>
      <c r="M49" s="69">
        <f t="shared" si="2"/>
        <v>0</v>
      </c>
      <c r="N49" s="70"/>
    </row>
    <row r="50" spans="2:14" x14ac:dyDescent="0.3">
      <c r="B50" s="68" t="s">
        <v>534</v>
      </c>
      <c r="C50" s="340"/>
      <c r="D50" s="340"/>
      <c r="E50" s="340"/>
      <c r="F50" s="340"/>
      <c r="G50" s="340"/>
      <c r="H50" s="340"/>
      <c r="I50" s="83"/>
      <c r="J50" s="76"/>
      <c r="K50" s="77"/>
      <c r="L50" s="77"/>
      <c r="M50" s="69">
        <f t="shared" si="2"/>
        <v>0</v>
      </c>
      <c r="N50" s="70"/>
    </row>
    <row r="51" spans="2:14" x14ac:dyDescent="0.3">
      <c r="B51" s="71"/>
      <c r="C51" s="72" t="s">
        <v>529</v>
      </c>
      <c r="D51" s="73"/>
      <c r="E51" s="73"/>
      <c r="F51" s="73"/>
      <c r="G51" s="73"/>
      <c r="H51" s="73"/>
      <c r="I51" s="73"/>
      <c r="J51" s="74"/>
      <c r="K51" s="74"/>
      <c r="L51" s="74"/>
      <c r="M51" s="75">
        <f>SUM(M31:M50)</f>
        <v>0</v>
      </c>
      <c r="N51" s="133">
        <f>IF($M$356=0,0,M51/$M$356)</f>
        <v>0</v>
      </c>
    </row>
    <row r="53" spans="2:14" x14ac:dyDescent="0.3">
      <c r="B53" s="62">
        <v>3</v>
      </c>
      <c r="C53" s="63" t="s">
        <v>109</v>
      </c>
      <c r="D53" s="64"/>
      <c r="E53" s="64"/>
      <c r="F53" s="64"/>
      <c r="G53" s="64"/>
      <c r="H53" s="64"/>
      <c r="I53" s="64"/>
      <c r="J53" s="65"/>
      <c r="K53" s="65"/>
      <c r="L53" s="65"/>
      <c r="M53" s="65"/>
      <c r="N53" s="67"/>
    </row>
    <row r="54" spans="2:14" x14ac:dyDescent="0.3">
      <c r="B54" s="68" t="s">
        <v>231</v>
      </c>
      <c r="C54" s="56" t="s">
        <v>232</v>
      </c>
      <c r="D54" s="55"/>
      <c r="J54" s="76"/>
      <c r="K54" s="77"/>
      <c r="L54" s="77"/>
      <c r="M54" s="69">
        <f>L54*K54</f>
        <v>0</v>
      </c>
      <c r="N54" s="70"/>
    </row>
    <row r="55" spans="2:14" x14ac:dyDescent="0.3">
      <c r="B55" s="68" t="s">
        <v>233</v>
      </c>
      <c r="C55" s="56" t="s">
        <v>234</v>
      </c>
      <c r="D55" s="55"/>
      <c r="J55" s="76"/>
      <c r="K55" s="77"/>
      <c r="L55" s="77"/>
      <c r="M55" s="69">
        <f>L55*K55</f>
        <v>0</v>
      </c>
      <c r="N55" s="70"/>
    </row>
    <row r="56" spans="2:14" x14ac:dyDescent="0.3">
      <c r="B56" s="68" t="s">
        <v>235</v>
      </c>
      <c r="C56" s="340"/>
      <c r="D56" s="340"/>
      <c r="E56" s="340"/>
      <c r="F56" s="340"/>
      <c r="G56" s="340"/>
      <c r="H56" s="340"/>
      <c r="I56" s="83"/>
      <c r="J56" s="76"/>
      <c r="K56" s="77"/>
      <c r="L56" s="77"/>
      <c r="M56" s="69">
        <f>L56*K56</f>
        <v>0</v>
      </c>
      <c r="N56" s="70"/>
    </row>
    <row r="57" spans="2:14" x14ac:dyDescent="0.3">
      <c r="B57" s="68" t="s">
        <v>236</v>
      </c>
      <c r="C57" s="340"/>
      <c r="D57" s="340"/>
      <c r="E57" s="340"/>
      <c r="F57" s="340"/>
      <c r="G57" s="340"/>
      <c r="H57" s="340"/>
      <c r="I57" s="83"/>
      <c r="J57" s="76"/>
      <c r="K57" s="77"/>
      <c r="L57" s="77"/>
      <c r="M57" s="69">
        <f>L57*K57</f>
        <v>0</v>
      </c>
      <c r="N57" s="70"/>
    </row>
    <row r="58" spans="2:14" x14ac:dyDescent="0.3">
      <c r="B58" s="68" t="s">
        <v>237</v>
      </c>
      <c r="C58" s="340"/>
      <c r="D58" s="340"/>
      <c r="E58" s="340"/>
      <c r="F58" s="340"/>
      <c r="G58" s="340"/>
      <c r="H58" s="340"/>
      <c r="I58" s="83"/>
      <c r="J58" s="76"/>
      <c r="K58" s="77"/>
      <c r="L58" s="77"/>
      <c r="M58" s="69">
        <f>L58*K58</f>
        <v>0</v>
      </c>
      <c r="N58" s="70"/>
    </row>
    <row r="59" spans="2:14" x14ac:dyDescent="0.3">
      <c r="B59" s="71"/>
      <c r="C59" s="72" t="s">
        <v>529</v>
      </c>
      <c r="D59" s="73"/>
      <c r="E59" s="73"/>
      <c r="F59" s="73"/>
      <c r="G59" s="73"/>
      <c r="H59" s="73"/>
      <c r="I59" s="73"/>
      <c r="J59" s="74"/>
      <c r="K59" s="74"/>
      <c r="L59" s="74"/>
      <c r="M59" s="75">
        <f>SUM(M53:M58)</f>
        <v>0</v>
      </c>
      <c r="N59" s="133">
        <f>IF($M$356=0,0,M59/$M$356)</f>
        <v>0</v>
      </c>
    </row>
    <row r="61" spans="2:14" x14ac:dyDescent="0.3">
      <c r="B61" s="62">
        <v>4</v>
      </c>
      <c r="C61" s="63" t="s">
        <v>110</v>
      </c>
      <c r="D61" s="64"/>
      <c r="E61" s="64"/>
      <c r="F61" s="64"/>
      <c r="G61" s="64"/>
      <c r="H61" s="64"/>
      <c r="I61" s="64"/>
      <c r="J61" s="65"/>
      <c r="K61" s="65"/>
      <c r="L61" s="65"/>
      <c r="M61" s="65"/>
      <c r="N61" s="67"/>
    </row>
    <row r="62" spans="2:14" x14ac:dyDescent="0.3">
      <c r="B62" s="78" t="s">
        <v>111</v>
      </c>
      <c r="C62" s="57" t="s">
        <v>535</v>
      </c>
      <c r="N62" s="70"/>
    </row>
    <row r="63" spans="2:14" x14ac:dyDescent="0.3">
      <c r="B63" s="68" t="s">
        <v>238</v>
      </c>
      <c r="C63" s="56" t="s">
        <v>239</v>
      </c>
      <c r="J63" s="76"/>
      <c r="K63" s="77"/>
      <c r="L63" s="77"/>
      <c r="M63" s="69">
        <f t="shared" ref="M63:M69" si="3">L63*K63</f>
        <v>0</v>
      </c>
      <c r="N63" s="70"/>
    </row>
    <row r="64" spans="2:14" x14ac:dyDescent="0.3">
      <c r="B64" s="68" t="s">
        <v>240</v>
      </c>
      <c r="C64" s="56" t="s">
        <v>241</v>
      </c>
      <c r="J64" s="76"/>
      <c r="K64" s="77"/>
      <c r="L64" s="77"/>
      <c r="M64" s="69">
        <f t="shared" si="3"/>
        <v>0</v>
      </c>
      <c r="N64" s="70"/>
    </row>
    <row r="65" spans="2:14" x14ac:dyDescent="0.3">
      <c r="B65" s="68" t="s">
        <v>242</v>
      </c>
      <c r="C65" s="56" t="s">
        <v>243</v>
      </c>
      <c r="J65" s="76"/>
      <c r="K65" s="77"/>
      <c r="L65" s="77"/>
      <c r="M65" s="69">
        <f t="shared" si="3"/>
        <v>0</v>
      </c>
      <c r="N65" s="70"/>
    </row>
    <row r="66" spans="2:14" x14ac:dyDescent="0.3">
      <c r="B66" s="68" t="s">
        <v>244</v>
      </c>
      <c r="C66" s="56" t="s">
        <v>245</v>
      </c>
      <c r="J66" s="76"/>
      <c r="K66" s="77"/>
      <c r="L66" s="77"/>
      <c r="M66" s="69">
        <f t="shared" si="3"/>
        <v>0</v>
      </c>
      <c r="N66" s="70"/>
    </row>
    <row r="67" spans="2:14" x14ac:dyDescent="0.3">
      <c r="B67" s="68" t="s">
        <v>246</v>
      </c>
      <c r="C67" s="56" t="s">
        <v>247</v>
      </c>
      <c r="J67" s="76"/>
      <c r="K67" s="77"/>
      <c r="L67" s="77"/>
      <c r="M67" s="69">
        <f t="shared" si="3"/>
        <v>0</v>
      </c>
      <c r="N67" s="70"/>
    </row>
    <row r="68" spans="2:14" x14ac:dyDescent="0.3">
      <c r="B68" s="68" t="s">
        <v>248</v>
      </c>
      <c r="C68" s="56" t="s">
        <v>249</v>
      </c>
      <c r="J68" s="76"/>
      <c r="K68" s="77"/>
      <c r="L68" s="77"/>
      <c r="M68" s="69">
        <f t="shared" si="3"/>
        <v>0</v>
      </c>
      <c r="N68" s="70"/>
    </row>
    <row r="69" spans="2:14" x14ac:dyDescent="0.3">
      <c r="B69" s="68" t="s">
        <v>250</v>
      </c>
      <c r="C69" s="340"/>
      <c r="D69" s="340"/>
      <c r="E69" s="340"/>
      <c r="F69" s="340"/>
      <c r="G69" s="340"/>
      <c r="H69" s="340"/>
      <c r="I69" s="83"/>
      <c r="J69" s="76"/>
      <c r="K69" s="77"/>
      <c r="L69" s="77"/>
      <c r="M69" s="69">
        <f t="shared" si="3"/>
        <v>0</v>
      </c>
      <c r="N69" s="70"/>
    </row>
    <row r="70" spans="2:14" x14ac:dyDescent="0.3">
      <c r="B70" s="68"/>
      <c r="N70" s="70"/>
    </row>
    <row r="71" spans="2:14" x14ac:dyDescent="0.3">
      <c r="B71" s="78" t="s">
        <v>113</v>
      </c>
      <c r="C71" s="57" t="s">
        <v>536</v>
      </c>
      <c r="N71" s="70"/>
    </row>
    <row r="72" spans="2:14" x14ac:dyDescent="0.3">
      <c r="B72" s="68" t="s">
        <v>537</v>
      </c>
      <c r="C72" s="56" t="s">
        <v>251</v>
      </c>
      <c r="J72" s="76"/>
      <c r="K72" s="77"/>
      <c r="L72" s="77"/>
      <c r="M72" s="69">
        <f t="shared" ref="M72:M77" si="4">L72*K72</f>
        <v>0</v>
      </c>
      <c r="N72" s="70"/>
    </row>
    <row r="73" spans="2:14" x14ac:dyDescent="0.3">
      <c r="B73" s="68" t="s">
        <v>538</v>
      </c>
      <c r="C73" s="56" t="s">
        <v>252</v>
      </c>
      <c r="J73" s="76"/>
      <c r="K73" s="77"/>
      <c r="L73" s="77"/>
      <c r="M73" s="69">
        <f t="shared" si="4"/>
        <v>0</v>
      </c>
      <c r="N73" s="70"/>
    </row>
    <row r="74" spans="2:14" x14ac:dyDescent="0.3">
      <c r="B74" s="68" t="s">
        <v>539</v>
      </c>
      <c r="C74" s="56" t="s">
        <v>253</v>
      </c>
      <c r="J74" s="76"/>
      <c r="K74" s="77"/>
      <c r="L74" s="77"/>
      <c r="M74" s="69">
        <f t="shared" si="4"/>
        <v>0</v>
      </c>
      <c r="N74" s="70"/>
    </row>
    <row r="75" spans="2:14" x14ac:dyDescent="0.3">
      <c r="B75" s="68" t="s">
        <v>540</v>
      </c>
      <c r="C75" s="56" t="s">
        <v>254</v>
      </c>
      <c r="J75" s="76"/>
      <c r="K75" s="77"/>
      <c r="L75" s="77"/>
      <c r="M75" s="69">
        <f t="shared" si="4"/>
        <v>0</v>
      </c>
      <c r="N75" s="70"/>
    </row>
    <row r="76" spans="2:14" x14ac:dyDescent="0.3">
      <c r="B76" s="68" t="s">
        <v>541</v>
      </c>
      <c r="C76" s="56" t="s">
        <v>255</v>
      </c>
      <c r="J76" s="76"/>
      <c r="K76" s="77"/>
      <c r="L76" s="77"/>
      <c r="M76" s="69">
        <f t="shared" si="4"/>
        <v>0</v>
      </c>
      <c r="N76" s="70"/>
    </row>
    <row r="77" spans="2:14" x14ac:dyDescent="0.3">
      <c r="B77" s="68" t="s">
        <v>542</v>
      </c>
      <c r="C77" s="340"/>
      <c r="D77" s="340"/>
      <c r="E77" s="340"/>
      <c r="F77" s="340"/>
      <c r="G77" s="340"/>
      <c r="H77" s="340"/>
      <c r="I77" s="83"/>
      <c r="J77" s="76"/>
      <c r="K77" s="77"/>
      <c r="L77" s="77"/>
      <c r="M77" s="69">
        <f t="shared" si="4"/>
        <v>0</v>
      </c>
      <c r="N77" s="70"/>
    </row>
    <row r="78" spans="2:14" x14ac:dyDescent="0.3">
      <c r="B78" s="68"/>
      <c r="N78" s="70"/>
    </row>
    <row r="79" spans="2:14" x14ac:dyDescent="0.3">
      <c r="B79" s="78" t="s">
        <v>115</v>
      </c>
      <c r="C79" s="57" t="s">
        <v>543</v>
      </c>
      <c r="N79" s="70"/>
    </row>
    <row r="80" spans="2:14" x14ac:dyDescent="0.3">
      <c r="B80" s="68" t="s">
        <v>258</v>
      </c>
      <c r="C80" s="56" t="s">
        <v>251</v>
      </c>
      <c r="J80" s="76"/>
      <c r="K80" s="77"/>
      <c r="L80" s="77"/>
      <c r="M80" s="69">
        <f t="shared" ref="M80:M88" si="5">L80*K80</f>
        <v>0</v>
      </c>
      <c r="N80" s="70"/>
    </row>
    <row r="81" spans="2:14" x14ac:dyDescent="0.3">
      <c r="B81" s="68" t="s">
        <v>260</v>
      </c>
      <c r="C81" s="56" t="s">
        <v>252</v>
      </c>
      <c r="J81" s="76"/>
      <c r="K81" s="77"/>
      <c r="L81" s="77"/>
      <c r="M81" s="69">
        <f t="shared" si="5"/>
        <v>0</v>
      </c>
      <c r="N81" s="70"/>
    </row>
    <row r="82" spans="2:14" x14ac:dyDescent="0.3">
      <c r="B82" s="68" t="s">
        <v>262</v>
      </c>
      <c r="C82" s="56" t="s">
        <v>253</v>
      </c>
      <c r="J82" s="76"/>
      <c r="K82" s="77"/>
      <c r="L82" s="77"/>
      <c r="M82" s="69">
        <f t="shared" si="5"/>
        <v>0</v>
      </c>
      <c r="N82" s="70"/>
    </row>
    <row r="83" spans="2:14" x14ac:dyDescent="0.3">
      <c r="B83" s="68" t="s">
        <v>264</v>
      </c>
      <c r="C83" s="56" t="s">
        <v>254</v>
      </c>
      <c r="J83" s="76"/>
      <c r="K83" s="77"/>
      <c r="L83" s="77"/>
      <c r="M83" s="69">
        <f t="shared" si="5"/>
        <v>0</v>
      </c>
      <c r="N83" s="70"/>
    </row>
    <row r="84" spans="2:14" x14ac:dyDescent="0.3">
      <c r="B84" s="68" t="s">
        <v>266</v>
      </c>
      <c r="C84" s="56" t="s">
        <v>255</v>
      </c>
      <c r="J84" s="76"/>
      <c r="K84" s="77"/>
      <c r="L84" s="77"/>
      <c r="M84" s="69">
        <f t="shared" si="5"/>
        <v>0</v>
      </c>
      <c r="N84" s="70"/>
    </row>
    <row r="85" spans="2:14" x14ac:dyDescent="0.3">
      <c r="B85" s="68" t="s">
        <v>268</v>
      </c>
      <c r="C85" s="56" t="s">
        <v>256</v>
      </c>
      <c r="J85" s="76"/>
      <c r="K85" s="77"/>
      <c r="L85" s="77"/>
      <c r="M85" s="69">
        <f t="shared" si="5"/>
        <v>0</v>
      </c>
      <c r="N85" s="70"/>
    </row>
    <row r="86" spans="2:14" x14ac:dyDescent="0.3">
      <c r="B86" s="68" t="s">
        <v>270</v>
      </c>
      <c r="C86" s="56" t="s">
        <v>257</v>
      </c>
      <c r="J86" s="76"/>
      <c r="K86" s="77"/>
      <c r="L86" s="77"/>
      <c r="M86" s="69">
        <f t="shared" si="5"/>
        <v>0</v>
      </c>
      <c r="N86" s="70"/>
    </row>
    <row r="87" spans="2:14" x14ac:dyDescent="0.3">
      <c r="B87" s="68" t="s">
        <v>544</v>
      </c>
      <c r="C87" s="56" t="s">
        <v>546</v>
      </c>
      <c r="J87" s="76"/>
      <c r="K87" s="77"/>
      <c r="L87" s="77"/>
      <c r="M87" s="69">
        <f t="shared" si="5"/>
        <v>0</v>
      </c>
      <c r="N87" s="70"/>
    </row>
    <row r="88" spans="2:14" x14ac:dyDescent="0.3">
      <c r="B88" s="68" t="s">
        <v>545</v>
      </c>
      <c r="C88" s="340"/>
      <c r="D88" s="340"/>
      <c r="E88" s="340"/>
      <c r="F88" s="340"/>
      <c r="G88" s="340"/>
      <c r="H88" s="340"/>
      <c r="I88" s="83"/>
      <c r="J88" s="76"/>
      <c r="K88" s="77"/>
      <c r="L88" s="77"/>
      <c r="M88" s="69">
        <f t="shared" si="5"/>
        <v>0</v>
      </c>
      <c r="N88" s="70"/>
    </row>
    <row r="89" spans="2:14" x14ac:dyDescent="0.3">
      <c r="B89" s="68"/>
      <c r="N89" s="70"/>
    </row>
    <row r="90" spans="2:14" x14ac:dyDescent="0.3">
      <c r="B90" s="78" t="s">
        <v>117</v>
      </c>
      <c r="C90" s="57" t="s">
        <v>547</v>
      </c>
      <c r="N90" s="70"/>
    </row>
    <row r="91" spans="2:14" x14ac:dyDescent="0.3">
      <c r="B91" s="68" t="s">
        <v>271</v>
      </c>
      <c r="C91" s="56" t="s">
        <v>259</v>
      </c>
      <c r="J91" s="76"/>
      <c r="K91" s="77"/>
      <c r="L91" s="77"/>
      <c r="M91" s="69">
        <f t="shared" ref="M91:M98" si="6">L91*K91</f>
        <v>0</v>
      </c>
      <c r="N91" s="70"/>
    </row>
    <row r="92" spans="2:14" x14ac:dyDescent="0.3">
      <c r="B92" s="68" t="s">
        <v>273</v>
      </c>
      <c r="C92" s="56" t="s">
        <v>261</v>
      </c>
      <c r="J92" s="76"/>
      <c r="K92" s="77"/>
      <c r="L92" s="77"/>
      <c r="M92" s="69">
        <f t="shared" si="6"/>
        <v>0</v>
      </c>
      <c r="N92" s="70"/>
    </row>
    <row r="93" spans="2:14" x14ac:dyDescent="0.3">
      <c r="B93" s="68" t="s">
        <v>275</v>
      </c>
      <c r="C93" s="56" t="s">
        <v>263</v>
      </c>
      <c r="J93" s="76"/>
      <c r="K93" s="77"/>
      <c r="L93" s="77"/>
      <c r="M93" s="69">
        <f t="shared" si="6"/>
        <v>0</v>
      </c>
      <c r="N93" s="70"/>
    </row>
    <row r="94" spans="2:14" x14ac:dyDescent="0.3">
      <c r="B94" s="68" t="s">
        <v>277</v>
      </c>
      <c r="C94" s="56" t="s">
        <v>265</v>
      </c>
      <c r="J94" s="76"/>
      <c r="K94" s="77"/>
      <c r="L94" s="77"/>
      <c r="M94" s="69">
        <f t="shared" si="6"/>
        <v>0</v>
      </c>
      <c r="N94" s="70"/>
    </row>
    <row r="95" spans="2:14" x14ac:dyDescent="0.3">
      <c r="B95" s="68" t="s">
        <v>279</v>
      </c>
      <c r="C95" s="56" t="s">
        <v>267</v>
      </c>
      <c r="J95" s="76"/>
      <c r="K95" s="77"/>
      <c r="L95" s="77"/>
      <c r="M95" s="69">
        <f t="shared" si="6"/>
        <v>0</v>
      </c>
      <c r="N95" s="70"/>
    </row>
    <row r="96" spans="2:14" x14ac:dyDescent="0.3">
      <c r="B96" s="68" t="s">
        <v>281</v>
      </c>
      <c r="C96" s="56" t="s">
        <v>269</v>
      </c>
      <c r="J96" s="76"/>
      <c r="K96" s="77"/>
      <c r="L96" s="77"/>
      <c r="M96" s="69">
        <f t="shared" si="6"/>
        <v>0</v>
      </c>
      <c r="N96" s="70"/>
    </row>
    <row r="97" spans="2:14" x14ac:dyDescent="0.3">
      <c r="B97" s="68" t="s">
        <v>548</v>
      </c>
      <c r="C97" s="56" t="s">
        <v>251</v>
      </c>
      <c r="J97" s="76"/>
      <c r="K97" s="77"/>
      <c r="L97" s="77"/>
      <c r="M97" s="69">
        <f t="shared" si="6"/>
        <v>0</v>
      </c>
      <c r="N97" s="70"/>
    </row>
    <row r="98" spans="2:14" x14ac:dyDescent="0.3">
      <c r="B98" s="68" t="s">
        <v>549</v>
      </c>
      <c r="C98" s="340"/>
      <c r="D98" s="340"/>
      <c r="E98" s="340"/>
      <c r="F98" s="340"/>
      <c r="G98" s="340"/>
      <c r="H98" s="340"/>
      <c r="I98" s="83"/>
      <c r="J98" s="76"/>
      <c r="K98" s="77"/>
      <c r="L98" s="77"/>
      <c r="M98" s="69">
        <f t="shared" si="6"/>
        <v>0</v>
      </c>
      <c r="N98" s="70"/>
    </row>
    <row r="99" spans="2:14" x14ac:dyDescent="0.3">
      <c r="B99" s="68"/>
      <c r="N99" s="70"/>
    </row>
    <row r="100" spans="2:14" x14ac:dyDescent="0.3">
      <c r="B100" s="78" t="s">
        <v>550</v>
      </c>
      <c r="C100" s="57" t="s">
        <v>551</v>
      </c>
      <c r="N100" s="70"/>
    </row>
    <row r="101" spans="2:14" x14ac:dyDescent="0.3">
      <c r="B101" s="68" t="s">
        <v>283</v>
      </c>
      <c r="C101" s="56" t="s">
        <v>272</v>
      </c>
      <c r="J101" s="76"/>
      <c r="K101" s="77"/>
      <c r="L101" s="77"/>
      <c r="M101" s="69">
        <f t="shared" ref="M101:M107" si="7">L101*K101</f>
        <v>0</v>
      </c>
      <c r="N101" s="70"/>
    </row>
    <row r="102" spans="2:14" x14ac:dyDescent="0.3">
      <c r="B102" s="68" t="s">
        <v>285</v>
      </c>
      <c r="C102" s="56" t="s">
        <v>274</v>
      </c>
      <c r="J102" s="76"/>
      <c r="K102" s="77"/>
      <c r="L102" s="77"/>
      <c r="M102" s="69">
        <f t="shared" si="7"/>
        <v>0</v>
      </c>
      <c r="N102" s="70"/>
    </row>
    <row r="103" spans="2:14" x14ac:dyDescent="0.3">
      <c r="B103" s="68" t="s">
        <v>287</v>
      </c>
      <c r="C103" s="56" t="s">
        <v>276</v>
      </c>
      <c r="J103" s="76"/>
      <c r="K103" s="77"/>
      <c r="L103" s="77"/>
      <c r="M103" s="69">
        <f t="shared" si="7"/>
        <v>0</v>
      </c>
      <c r="N103" s="70"/>
    </row>
    <row r="104" spans="2:14" x14ac:dyDescent="0.3">
      <c r="B104" s="68" t="s">
        <v>289</v>
      </c>
      <c r="C104" s="56" t="s">
        <v>278</v>
      </c>
      <c r="J104" s="76"/>
      <c r="K104" s="77"/>
      <c r="L104" s="77"/>
      <c r="M104" s="69">
        <f t="shared" si="7"/>
        <v>0</v>
      </c>
      <c r="N104" s="70"/>
    </row>
    <row r="105" spans="2:14" x14ac:dyDescent="0.3">
      <c r="B105" s="68" t="s">
        <v>291</v>
      </c>
      <c r="C105" s="56" t="s">
        <v>280</v>
      </c>
      <c r="J105" s="76"/>
      <c r="K105" s="77"/>
      <c r="L105" s="77"/>
      <c r="M105" s="69">
        <f t="shared" si="7"/>
        <v>0</v>
      </c>
      <c r="N105" s="70"/>
    </row>
    <row r="106" spans="2:14" x14ac:dyDescent="0.3">
      <c r="B106" s="68" t="s">
        <v>552</v>
      </c>
      <c r="C106" s="56" t="s">
        <v>282</v>
      </c>
      <c r="J106" s="76"/>
      <c r="K106" s="77"/>
      <c r="L106" s="77"/>
      <c r="M106" s="69">
        <f t="shared" si="7"/>
        <v>0</v>
      </c>
      <c r="N106" s="70"/>
    </row>
    <row r="107" spans="2:14" x14ac:dyDescent="0.3">
      <c r="B107" s="68" t="s">
        <v>553</v>
      </c>
      <c r="C107" s="340"/>
      <c r="D107" s="340"/>
      <c r="E107" s="340"/>
      <c r="F107" s="340"/>
      <c r="G107" s="340"/>
      <c r="H107" s="340"/>
      <c r="I107" s="83"/>
      <c r="J107" s="76"/>
      <c r="K107" s="77"/>
      <c r="L107" s="77"/>
      <c r="M107" s="69">
        <f t="shared" si="7"/>
        <v>0</v>
      </c>
      <c r="N107" s="70"/>
    </row>
    <row r="108" spans="2:14" x14ac:dyDescent="0.3">
      <c r="B108" s="68"/>
      <c r="N108" s="70"/>
    </row>
    <row r="109" spans="2:14" x14ac:dyDescent="0.3">
      <c r="B109" s="78" t="s">
        <v>554</v>
      </c>
      <c r="C109" s="57" t="s">
        <v>555</v>
      </c>
      <c r="N109" s="70"/>
    </row>
    <row r="110" spans="2:14" x14ac:dyDescent="0.3">
      <c r="B110" s="68" t="s">
        <v>556</v>
      </c>
      <c r="C110" s="56" t="s">
        <v>284</v>
      </c>
      <c r="J110" s="76"/>
      <c r="K110" s="77"/>
      <c r="L110" s="77"/>
      <c r="M110" s="69">
        <f t="shared" ref="M110:M115" si="8">L110*K110</f>
        <v>0</v>
      </c>
      <c r="N110" s="70"/>
    </row>
    <row r="111" spans="2:14" x14ac:dyDescent="0.3">
      <c r="B111" s="68" t="s">
        <v>557</v>
      </c>
      <c r="C111" s="56" t="s">
        <v>286</v>
      </c>
      <c r="J111" s="76"/>
      <c r="K111" s="77"/>
      <c r="L111" s="77"/>
      <c r="M111" s="69">
        <f t="shared" si="8"/>
        <v>0</v>
      </c>
      <c r="N111" s="70"/>
    </row>
    <row r="112" spans="2:14" x14ac:dyDescent="0.3">
      <c r="B112" s="68" t="s">
        <v>558</v>
      </c>
      <c r="C112" s="56" t="s">
        <v>288</v>
      </c>
      <c r="J112" s="76"/>
      <c r="K112" s="77"/>
      <c r="L112" s="77"/>
      <c r="M112" s="69">
        <f t="shared" si="8"/>
        <v>0</v>
      </c>
      <c r="N112" s="70"/>
    </row>
    <row r="113" spans="2:14" x14ac:dyDescent="0.3">
      <c r="B113" s="68" t="s">
        <v>559</v>
      </c>
      <c r="C113" s="56" t="s">
        <v>290</v>
      </c>
      <c r="J113" s="76"/>
      <c r="K113" s="77"/>
      <c r="L113" s="77"/>
      <c r="M113" s="69">
        <f t="shared" si="8"/>
        <v>0</v>
      </c>
      <c r="N113" s="70"/>
    </row>
    <row r="114" spans="2:14" x14ac:dyDescent="0.3">
      <c r="B114" s="68" t="s">
        <v>560</v>
      </c>
      <c r="C114" s="56" t="s">
        <v>292</v>
      </c>
      <c r="J114" s="76"/>
      <c r="K114" s="77"/>
      <c r="L114" s="77"/>
      <c r="M114" s="69">
        <f t="shared" si="8"/>
        <v>0</v>
      </c>
      <c r="N114" s="70"/>
    </row>
    <row r="115" spans="2:14" x14ac:dyDescent="0.3">
      <c r="B115" s="68" t="s">
        <v>561</v>
      </c>
      <c r="C115" s="340"/>
      <c r="D115" s="340"/>
      <c r="E115" s="340"/>
      <c r="F115" s="340"/>
      <c r="G115" s="340"/>
      <c r="H115" s="340"/>
      <c r="I115" s="83"/>
      <c r="J115" s="76"/>
      <c r="K115" s="77"/>
      <c r="L115" s="77"/>
      <c r="M115" s="69">
        <f t="shared" si="8"/>
        <v>0</v>
      </c>
      <c r="N115" s="70"/>
    </row>
    <row r="116" spans="2:14" x14ac:dyDescent="0.3">
      <c r="B116" s="71"/>
      <c r="C116" s="72" t="s">
        <v>529</v>
      </c>
      <c r="D116" s="73"/>
      <c r="E116" s="73"/>
      <c r="F116" s="73"/>
      <c r="G116" s="73"/>
      <c r="H116" s="73"/>
      <c r="I116" s="73"/>
      <c r="J116" s="74"/>
      <c r="K116" s="74"/>
      <c r="L116" s="74"/>
      <c r="M116" s="75">
        <f>SUM(M61:M115)</f>
        <v>0</v>
      </c>
      <c r="N116" s="133">
        <f>IF($M$356=0,0,M116/$M$356)</f>
        <v>0</v>
      </c>
    </row>
    <row r="118" spans="2:14" x14ac:dyDescent="0.3">
      <c r="B118" s="62">
        <v>5</v>
      </c>
      <c r="C118" s="63" t="s">
        <v>562</v>
      </c>
      <c r="D118" s="64"/>
      <c r="E118" s="64"/>
      <c r="F118" s="64"/>
      <c r="G118" s="64"/>
      <c r="H118" s="64"/>
      <c r="I118" s="64"/>
      <c r="J118" s="65"/>
      <c r="K118" s="65"/>
      <c r="L118" s="65"/>
      <c r="M118" s="65"/>
      <c r="N118" s="67"/>
    </row>
    <row r="119" spans="2:14" x14ac:dyDescent="0.3">
      <c r="B119" s="78" t="s">
        <v>119</v>
      </c>
      <c r="C119" s="57" t="s">
        <v>563</v>
      </c>
      <c r="N119" s="70"/>
    </row>
    <row r="120" spans="2:14" x14ac:dyDescent="0.3">
      <c r="B120" s="68" t="s">
        <v>293</v>
      </c>
      <c r="C120" s="56" t="s">
        <v>294</v>
      </c>
      <c r="J120" s="76"/>
      <c r="K120" s="77"/>
      <c r="L120" s="77"/>
      <c r="M120" s="69">
        <f>L120*K120</f>
        <v>0</v>
      </c>
      <c r="N120" s="70"/>
    </row>
    <row r="121" spans="2:14" x14ac:dyDescent="0.3">
      <c r="B121" s="68" t="s">
        <v>295</v>
      </c>
      <c r="C121" s="56" t="s">
        <v>296</v>
      </c>
      <c r="J121" s="76"/>
      <c r="K121" s="77"/>
      <c r="L121" s="77"/>
      <c r="M121" s="69">
        <f>L121*K121</f>
        <v>0</v>
      </c>
      <c r="N121" s="70"/>
    </row>
    <row r="122" spans="2:14" x14ac:dyDescent="0.3">
      <c r="B122" s="68" t="s">
        <v>297</v>
      </c>
      <c r="C122" s="56" t="s">
        <v>298</v>
      </c>
      <c r="J122" s="76"/>
      <c r="K122" s="77"/>
      <c r="L122" s="77"/>
      <c r="M122" s="69">
        <f>L122*K122</f>
        <v>0</v>
      </c>
      <c r="N122" s="70"/>
    </row>
    <row r="123" spans="2:14" x14ac:dyDescent="0.3">
      <c r="B123" s="68" t="s">
        <v>299</v>
      </c>
      <c r="C123" s="340"/>
      <c r="D123" s="340"/>
      <c r="E123" s="340"/>
      <c r="F123" s="340"/>
      <c r="G123" s="340"/>
      <c r="H123" s="340"/>
      <c r="I123" s="83"/>
      <c r="J123" s="76"/>
      <c r="K123" s="77"/>
      <c r="L123" s="77"/>
      <c r="M123" s="69">
        <f>L123*K123</f>
        <v>0</v>
      </c>
      <c r="N123" s="70"/>
    </row>
    <row r="124" spans="2:14" x14ac:dyDescent="0.3">
      <c r="B124" s="68"/>
      <c r="N124" s="70"/>
    </row>
    <row r="125" spans="2:14" x14ac:dyDescent="0.3">
      <c r="B125" s="78" t="s">
        <v>121</v>
      </c>
      <c r="C125" s="57" t="s">
        <v>564</v>
      </c>
      <c r="N125" s="70"/>
    </row>
    <row r="126" spans="2:14" x14ac:dyDescent="0.3">
      <c r="B126" s="68" t="s">
        <v>300</v>
      </c>
      <c r="C126" s="56" t="s">
        <v>301</v>
      </c>
      <c r="J126" s="76"/>
      <c r="K126" s="77"/>
      <c r="L126" s="77"/>
      <c r="M126" s="69">
        <f t="shared" ref="M126:M134" si="9">L126*K126</f>
        <v>0</v>
      </c>
      <c r="N126" s="70"/>
    </row>
    <row r="127" spans="2:14" x14ac:dyDescent="0.3">
      <c r="B127" s="68" t="s">
        <v>302</v>
      </c>
      <c r="C127" s="56" t="s">
        <v>303</v>
      </c>
      <c r="J127" s="76"/>
      <c r="K127" s="77"/>
      <c r="L127" s="77"/>
      <c r="M127" s="69">
        <f t="shared" si="9"/>
        <v>0</v>
      </c>
      <c r="N127" s="70"/>
    </row>
    <row r="128" spans="2:14" x14ac:dyDescent="0.3">
      <c r="B128" s="68" t="s">
        <v>304</v>
      </c>
      <c r="C128" s="56" t="s">
        <v>305</v>
      </c>
      <c r="J128" s="76"/>
      <c r="K128" s="77"/>
      <c r="L128" s="77"/>
      <c r="M128" s="69">
        <f t="shared" si="9"/>
        <v>0</v>
      </c>
      <c r="N128" s="70"/>
    </row>
    <row r="129" spans="2:14" x14ac:dyDescent="0.3">
      <c r="B129" s="68" t="s">
        <v>306</v>
      </c>
      <c r="C129" s="56" t="s">
        <v>307</v>
      </c>
      <c r="J129" s="76"/>
      <c r="K129" s="77"/>
      <c r="L129" s="77"/>
      <c r="M129" s="69">
        <f t="shared" si="9"/>
        <v>0</v>
      </c>
      <c r="N129" s="70"/>
    </row>
    <row r="130" spans="2:14" x14ac:dyDescent="0.3">
      <c r="B130" s="68" t="s">
        <v>308</v>
      </c>
      <c r="C130" s="56" t="s">
        <v>309</v>
      </c>
      <c r="J130" s="76"/>
      <c r="K130" s="77"/>
      <c r="L130" s="77"/>
      <c r="M130" s="69">
        <f t="shared" si="9"/>
        <v>0</v>
      </c>
      <c r="N130" s="70"/>
    </row>
    <row r="131" spans="2:14" x14ac:dyDescent="0.3">
      <c r="B131" s="68" t="s">
        <v>310</v>
      </c>
      <c r="C131" s="56" t="s">
        <v>311</v>
      </c>
      <c r="J131" s="76"/>
      <c r="K131" s="77"/>
      <c r="L131" s="77"/>
      <c r="M131" s="69">
        <f t="shared" si="9"/>
        <v>0</v>
      </c>
      <c r="N131" s="70"/>
    </row>
    <row r="132" spans="2:14" x14ac:dyDescent="0.3">
      <c r="B132" s="68" t="s">
        <v>312</v>
      </c>
      <c r="C132" s="56" t="s">
        <v>313</v>
      </c>
      <c r="J132" s="76"/>
      <c r="K132" s="77"/>
      <c r="L132" s="77"/>
      <c r="M132" s="69">
        <f t="shared" si="9"/>
        <v>0</v>
      </c>
      <c r="N132" s="70"/>
    </row>
    <row r="133" spans="2:14" x14ac:dyDescent="0.3">
      <c r="B133" s="68" t="s">
        <v>314</v>
      </c>
      <c r="C133" s="56" t="s">
        <v>315</v>
      </c>
      <c r="J133" s="76"/>
      <c r="K133" s="77"/>
      <c r="L133" s="77"/>
      <c r="M133" s="69">
        <f t="shared" si="9"/>
        <v>0</v>
      </c>
      <c r="N133" s="70"/>
    </row>
    <row r="134" spans="2:14" x14ac:dyDescent="0.3">
      <c r="B134" s="68" t="s">
        <v>316</v>
      </c>
      <c r="C134" s="340"/>
      <c r="D134" s="340"/>
      <c r="E134" s="340"/>
      <c r="F134" s="340"/>
      <c r="G134" s="340"/>
      <c r="H134" s="340"/>
      <c r="I134" s="83"/>
      <c r="J134" s="76"/>
      <c r="K134" s="77"/>
      <c r="L134" s="77"/>
      <c r="M134" s="69">
        <f t="shared" si="9"/>
        <v>0</v>
      </c>
      <c r="N134" s="70"/>
    </row>
    <row r="135" spans="2:14" x14ac:dyDescent="0.3">
      <c r="B135" s="68"/>
      <c r="N135" s="70"/>
    </row>
    <row r="136" spans="2:14" x14ac:dyDescent="0.3">
      <c r="B136" s="78" t="s">
        <v>565</v>
      </c>
      <c r="C136" s="57" t="s">
        <v>566</v>
      </c>
      <c r="N136" s="70"/>
    </row>
    <row r="137" spans="2:14" x14ac:dyDescent="0.3">
      <c r="B137" s="68" t="s">
        <v>317</v>
      </c>
      <c r="C137" s="56" t="s">
        <v>318</v>
      </c>
      <c r="J137" s="76"/>
      <c r="K137" s="77"/>
      <c r="L137" s="77"/>
      <c r="M137" s="69">
        <f>L137*K137</f>
        <v>0</v>
      </c>
      <c r="N137" s="70"/>
    </row>
    <row r="138" spans="2:14" x14ac:dyDescent="0.3">
      <c r="B138" s="68" t="s">
        <v>319</v>
      </c>
      <c r="C138" s="56" t="s">
        <v>320</v>
      </c>
      <c r="J138" s="76"/>
      <c r="K138" s="77"/>
      <c r="L138" s="77"/>
      <c r="M138" s="69">
        <f>L138*K138</f>
        <v>0</v>
      </c>
      <c r="N138" s="70"/>
    </row>
    <row r="139" spans="2:14" x14ac:dyDescent="0.3">
      <c r="B139" s="68" t="s">
        <v>321</v>
      </c>
      <c r="C139" s="340"/>
      <c r="D139" s="340"/>
      <c r="E139" s="340"/>
      <c r="F139" s="340"/>
      <c r="G139" s="340"/>
      <c r="H139" s="340"/>
      <c r="I139" s="83"/>
      <c r="J139" s="76"/>
      <c r="K139" s="77"/>
      <c r="L139" s="77"/>
      <c r="M139" s="69">
        <f>L139*K139</f>
        <v>0</v>
      </c>
      <c r="N139" s="70"/>
    </row>
    <row r="140" spans="2:14" x14ac:dyDescent="0.3">
      <c r="B140" s="68" t="s">
        <v>322</v>
      </c>
      <c r="C140" s="340"/>
      <c r="D140" s="340"/>
      <c r="E140" s="340"/>
      <c r="F140" s="340"/>
      <c r="G140" s="340"/>
      <c r="H140" s="340"/>
      <c r="I140" s="83"/>
      <c r="J140" s="76"/>
      <c r="K140" s="77"/>
      <c r="L140" s="77"/>
      <c r="M140" s="69">
        <f>L140*K140</f>
        <v>0</v>
      </c>
      <c r="N140" s="70"/>
    </row>
    <row r="141" spans="2:14" x14ac:dyDescent="0.3">
      <c r="B141" s="71"/>
      <c r="C141" s="72" t="s">
        <v>529</v>
      </c>
      <c r="D141" s="73"/>
      <c r="E141" s="73"/>
      <c r="F141" s="73"/>
      <c r="G141" s="73"/>
      <c r="H141" s="73"/>
      <c r="I141" s="73"/>
      <c r="J141" s="74"/>
      <c r="K141" s="74"/>
      <c r="L141" s="74"/>
      <c r="M141" s="75">
        <f>SUM(M118:M140)</f>
        <v>0</v>
      </c>
      <c r="N141" s="133">
        <f>IF($M$356=0,0,M141/$M$356)</f>
        <v>0</v>
      </c>
    </row>
    <row r="143" spans="2:14" x14ac:dyDescent="0.3">
      <c r="B143" s="62">
        <v>6</v>
      </c>
      <c r="C143" s="63" t="s">
        <v>123</v>
      </c>
      <c r="D143" s="64"/>
      <c r="E143" s="64"/>
      <c r="F143" s="64"/>
      <c r="G143" s="64"/>
      <c r="H143" s="64"/>
      <c r="I143" s="64"/>
      <c r="J143" s="65"/>
      <c r="K143" s="65"/>
      <c r="L143" s="65"/>
      <c r="M143" s="65"/>
      <c r="N143" s="67"/>
    </row>
    <row r="144" spans="2:14" x14ac:dyDescent="0.3">
      <c r="B144" s="78" t="s">
        <v>124</v>
      </c>
      <c r="C144" s="57" t="s">
        <v>567</v>
      </c>
      <c r="N144" s="70"/>
    </row>
    <row r="145" spans="2:14" x14ac:dyDescent="0.3">
      <c r="B145" s="68" t="s">
        <v>323</v>
      </c>
      <c r="C145" s="56" t="s">
        <v>324</v>
      </c>
      <c r="J145" s="76"/>
      <c r="K145" s="77"/>
      <c r="L145" s="77"/>
      <c r="M145" s="69">
        <f t="shared" ref="M145:M151" si="10">L145*K145</f>
        <v>0</v>
      </c>
      <c r="N145" s="70"/>
    </row>
    <row r="146" spans="2:14" x14ac:dyDescent="0.3">
      <c r="B146" s="68" t="s">
        <v>325</v>
      </c>
      <c r="C146" s="56" t="s">
        <v>326</v>
      </c>
      <c r="J146" s="76"/>
      <c r="K146" s="77"/>
      <c r="L146" s="77"/>
      <c r="M146" s="69">
        <f t="shared" si="10"/>
        <v>0</v>
      </c>
      <c r="N146" s="70"/>
    </row>
    <row r="147" spans="2:14" x14ac:dyDescent="0.3">
      <c r="B147" s="68" t="s">
        <v>327</v>
      </c>
      <c r="C147" s="56" t="s">
        <v>328</v>
      </c>
      <c r="J147" s="76"/>
      <c r="K147" s="77"/>
      <c r="L147" s="77"/>
      <c r="M147" s="69">
        <f t="shared" si="10"/>
        <v>0</v>
      </c>
      <c r="N147" s="70"/>
    </row>
    <row r="148" spans="2:14" x14ac:dyDescent="0.3">
      <c r="B148" s="68" t="s">
        <v>329</v>
      </c>
      <c r="C148" s="56" t="s">
        <v>349</v>
      </c>
      <c r="J148" s="76"/>
      <c r="K148" s="77"/>
      <c r="L148" s="77"/>
      <c r="M148" s="69">
        <f t="shared" si="10"/>
        <v>0</v>
      </c>
      <c r="N148" s="70"/>
    </row>
    <row r="149" spans="2:14" x14ac:dyDescent="0.3">
      <c r="B149" s="68" t="s">
        <v>330</v>
      </c>
      <c r="C149" s="56" t="s">
        <v>331</v>
      </c>
      <c r="J149" s="76"/>
      <c r="K149" s="77"/>
      <c r="L149" s="77"/>
      <c r="M149" s="69">
        <f t="shared" si="10"/>
        <v>0</v>
      </c>
      <c r="N149" s="70"/>
    </row>
    <row r="150" spans="2:14" x14ac:dyDescent="0.3">
      <c r="B150" s="68" t="s">
        <v>332</v>
      </c>
      <c r="C150" s="56" t="s">
        <v>333</v>
      </c>
      <c r="J150" s="76"/>
      <c r="K150" s="77"/>
      <c r="L150" s="77"/>
      <c r="M150" s="69">
        <f t="shared" si="10"/>
        <v>0</v>
      </c>
      <c r="N150" s="70"/>
    </row>
    <row r="151" spans="2:14" x14ac:dyDescent="0.3">
      <c r="B151" s="68" t="s">
        <v>334</v>
      </c>
      <c r="C151" s="340"/>
      <c r="D151" s="340"/>
      <c r="E151" s="340"/>
      <c r="F151" s="340"/>
      <c r="G151" s="340"/>
      <c r="H151" s="340"/>
      <c r="I151" s="83"/>
      <c r="J151" s="76"/>
      <c r="K151" s="77"/>
      <c r="L151" s="77"/>
      <c r="M151" s="69">
        <f t="shared" si="10"/>
        <v>0</v>
      </c>
      <c r="N151" s="70"/>
    </row>
    <row r="152" spans="2:14" x14ac:dyDescent="0.3">
      <c r="B152" s="68"/>
      <c r="N152" s="70"/>
    </row>
    <row r="153" spans="2:14" x14ac:dyDescent="0.3">
      <c r="B153" s="78" t="s">
        <v>126</v>
      </c>
      <c r="C153" s="57" t="s">
        <v>341</v>
      </c>
      <c r="N153" s="70"/>
    </row>
    <row r="154" spans="2:14" x14ac:dyDescent="0.3">
      <c r="B154" s="68" t="s">
        <v>335</v>
      </c>
      <c r="C154" s="56" t="s">
        <v>324</v>
      </c>
      <c r="J154" s="76"/>
      <c r="K154" s="77"/>
      <c r="L154" s="77"/>
      <c r="M154" s="69">
        <f t="shared" ref="M154:M161" si="11">L154*K154</f>
        <v>0</v>
      </c>
      <c r="N154" s="70"/>
    </row>
    <row r="155" spans="2:14" x14ac:dyDescent="0.3">
      <c r="B155" s="68" t="s">
        <v>336</v>
      </c>
      <c r="C155" s="56" t="s">
        <v>326</v>
      </c>
      <c r="J155" s="76"/>
      <c r="K155" s="77"/>
      <c r="L155" s="77"/>
      <c r="M155" s="69">
        <f t="shared" si="11"/>
        <v>0</v>
      </c>
      <c r="N155" s="70"/>
    </row>
    <row r="156" spans="2:14" x14ac:dyDescent="0.3">
      <c r="B156" s="68" t="s">
        <v>337</v>
      </c>
      <c r="C156" s="56" t="s">
        <v>338</v>
      </c>
      <c r="J156" s="76"/>
      <c r="K156" s="77"/>
      <c r="L156" s="77"/>
      <c r="M156" s="69">
        <f t="shared" si="11"/>
        <v>0</v>
      </c>
      <c r="N156" s="70"/>
    </row>
    <row r="157" spans="2:14" x14ac:dyDescent="0.3">
      <c r="B157" s="68" t="s">
        <v>339</v>
      </c>
      <c r="C157" s="56" t="s">
        <v>340</v>
      </c>
      <c r="J157" s="76"/>
      <c r="K157" s="77"/>
      <c r="L157" s="77"/>
      <c r="M157" s="69">
        <f t="shared" si="11"/>
        <v>0</v>
      </c>
      <c r="N157" s="70"/>
    </row>
    <row r="158" spans="2:14" x14ac:dyDescent="0.3">
      <c r="B158" s="68" t="s">
        <v>342</v>
      </c>
      <c r="C158" s="56" t="s">
        <v>343</v>
      </c>
      <c r="J158" s="76"/>
      <c r="K158" s="77"/>
      <c r="L158" s="77"/>
      <c r="M158" s="69">
        <f t="shared" si="11"/>
        <v>0</v>
      </c>
      <c r="N158" s="70"/>
    </row>
    <row r="159" spans="2:14" x14ac:dyDescent="0.3">
      <c r="B159" s="68" t="s">
        <v>344</v>
      </c>
      <c r="C159" s="56" t="s">
        <v>345</v>
      </c>
      <c r="J159" s="76"/>
      <c r="K159" s="77"/>
      <c r="L159" s="77"/>
      <c r="M159" s="69">
        <f t="shared" si="11"/>
        <v>0</v>
      </c>
      <c r="N159" s="70"/>
    </row>
    <row r="160" spans="2:14" x14ac:dyDescent="0.3">
      <c r="B160" s="68" t="s">
        <v>346</v>
      </c>
      <c r="C160" s="56" t="s">
        <v>347</v>
      </c>
      <c r="J160" s="76"/>
      <c r="K160" s="77"/>
      <c r="L160" s="77"/>
      <c r="M160" s="69">
        <f t="shared" si="11"/>
        <v>0</v>
      </c>
      <c r="N160" s="70"/>
    </row>
    <row r="161" spans="2:14" x14ac:dyDescent="0.3">
      <c r="B161" s="68" t="s">
        <v>348</v>
      </c>
      <c r="C161" s="340"/>
      <c r="D161" s="340"/>
      <c r="E161" s="340"/>
      <c r="F161" s="340"/>
      <c r="G161" s="340"/>
      <c r="H161" s="340"/>
      <c r="I161" s="83"/>
      <c r="J161" s="76"/>
      <c r="K161" s="77"/>
      <c r="L161" s="77"/>
      <c r="M161" s="69">
        <f t="shared" si="11"/>
        <v>0</v>
      </c>
      <c r="N161" s="70"/>
    </row>
    <row r="162" spans="2:14" x14ac:dyDescent="0.3">
      <c r="B162" s="68"/>
      <c r="N162" s="70"/>
    </row>
    <row r="163" spans="2:14" x14ac:dyDescent="0.3">
      <c r="B163" s="78" t="s">
        <v>128</v>
      </c>
      <c r="C163" s="57" t="s">
        <v>568</v>
      </c>
      <c r="N163" s="70"/>
    </row>
    <row r="164" spans="2:14" x14ac:dyDescent="0.3">
      <c r="B164" s="68" t="s">
        <v>569</v>
      </c>
      <c r="C164" s="56" t="s">
        <v>324</v>
      </c>
      <c r="J164" s="76"/>
      <c r="K164" s="77"/>
      <c r="L164" s="77"/>
      <c r="M164" s="69">
        <f t="shared" ref="M164:M169" si="12">L164*K164</f>
        <v>0</v>
      </c>
      <c r="N164" s="70"/>
    </row>
    <row r="165" spans="2:14" x14ac:dyDescent="0.3">
      <c r="B165" s="68" t="s">
        <v>570</v>
      </c>
      <c r="C165" s="56" t="s">
        <v>326</v>
      </c>
      <c r="J165" s="76"/>
      <c r="K165" s="77"/>
      <c r="L165" s="77"/>
      <c r="M165" s="69">
        <f t="shared" si="12"/>
        <v>0</v>
      </c>
      <c r="N165" s="70"/>
    </row>
    <row r="166" spans="2:14" x14ac:dyDescent="0.3">
      <c r="B166" s="68" t="s">
        <v>571</v>
      </c>
      <c r="C166" s="56" t="s">
        <v>328</v>
      </c>
      <c r="J166" s="76"/>
      <c r="K166" s="77"/>
      <c r="L166" s="77"/>
      <c r="M166" s="69">
        <f t="shared" si="12"/>
        <v>0</v>
      </c>
      <c r="N166" s="70"/>
    </row>
    <row r="167" spans="2:14" x14ac:dyDescent="0.3">
      <c r="B167" s="68" t="s">
        <v>572</v>
      </c>
      <c r="C167" s="56" t="s">
        <v>349</v>
      </c>
      <c r="J167" s="76"/>
      <c r="K167" s="77"/>
      <c r="L167" s="77"/>
      <c r="M167" s="69">
        <f t="shared" si="12"/>
        <v>0</v>
      </c>
      <c r="N167" s="70"/>
    </row>
    <row r="168" spans="2:14" x14ac:dyDescent="0.3">
      <c r="B168" s="68" t="s">
        <v>573</v>
      </c>
      <c r="C168" s="56" t="s">
        <v>331</v>
      </c>
      <c r="J168" s="76"/>
      <c r="K168" s="77"/>
      <c r="L168" s="77"/>
      <c r="M168" s="69">
        <f t="shared" si="12"/>
        <v>0</v>
      </c>
      <c r="N168" s="70"/>
    </row>
    <row r="169" spans="2:14" x14ac:dyDescent="0.3">
      <c r="B169" s="68" t="s">
        <v>574</v>
      </c>
      <c r="C169" s="340"/>
      <c r="D169" s="340"/>
      <c r="E169" s="340"/>
      <c r="F169" s="340"/>
      <c r="G169" s="340"/>
      <c r="H169" s="340"/>
      <c r="I169" s="83"/>
      <c r="J169" s="76"/>
      <c r="K169" s="77"/>
      <c r="L169" s="77"/>
      <c r="M169" s="69">
        <f t="shared" si="12"/>
        <v>0</v>
      </c>
      <c r="N169" s="70"/>
    </row>
    <row r="170" spans="2:14" x14ac:dyDescent="0.3">
      <c r="B170" s="68"/>
      <c r="N170" s="70"/>
    </row>
    <row r="171" spans="2:14" x14ac:dyDescent="0.3">
      <c r="B171" s="78" t="s">
        <v>130</v>
      </c>
      <c r="C171" s="57" t="s">
        <v>353</v>
      </c>
      <c r="N171" s="70"/>
    </row>
    <row r="172" spans="2:14" x14ac:dyDescent="0.3">
      <c r="B172" s="68" t="s">
        <v>350</v>
      </c>
      <c r="C172" s="56" t="s">
        <v>333</v>
      </c>
      <c r="J172" s="76"/>
      <c r="K172" s="77"/>
      <c r="L172" s="77"/>
      <c r="M172" s="69">
        <f>L172*K172</f>
        <v>0</v>
      </c>
      <c r="N172" s="70"/>
    </row>
    <row r="173" spans="2:14" x14ac:dyDescent="0.3">
      <c r="B173" s="68" t="s">
        <v>351</v>
      </c>
      <c r="C173" s="56" t="s">
        <v>352</v>
      </c>
      <c r="J173" s="76"/>
      <c r="K173" s="77"/>
      <c r="L173" s="77"/>
      <c r="M173" s="69">
        <f>L173*K173</f>
        <v>0</v>
      </c>
      <c r="N173" s="70"/>
    </row>
    <row r="174" spans="2:14" x14ac:dyDescent="0.3">
      <c r="B174" s="68" t="s">
        <v>354</v>
      </c>
      <c r="C174" s="56" t="s">
        <v>355</v>
      </c>
      <c r="J174" s="76"/>
      <c r="K174" s="77"/>
      <c r="L174" s="77"/>
      <c r="M174" s="69">
        <f>L174*K174</f>
        <v>0</v>
      </c>
      <c r="N174" s="70"/>
    </row>
    <row r="175" spans="2:14" x14ac:dyDescent="0.3">
      <c r="B175" s="68" t="s">
        <v>356</v>
      </c>
      <c r="C175" s="56" t="s">
        <v>357</v>
      </c>
      <c r="J175" s="76"/>
      <c r="K175" s="77"/>
      <c r="L175" s="77"/>
      <c r="M175" s="69">
        <f>L175*K175</f>
        <v>0</v>
      </c>
      <c r="N175" s="70"/>
    </row>
    <row r="176" spans="2:14" x14ac:dyDescent="0.3">
      <c r="B176" s="68" t="s">
        <v>358</v>
      </c>
      <c r="C176" s="340"/>
      <c r="D176" s="340"/>
      <c r="E176" s="340"/>
      <c r="F176" s="340"/>
      <c r="G176" s="340"/>
      <c r="H176" s="340"/>
      <c r="I176" s="83"/>
      <c r="J176" s="76"/>
      <c r="K176" s="77"/>
      <c r="L176" s="77"/>
      <c r="M176" s="69">
        <f>L176*K176</f>
        <v>0</v>
      </c>
      <c r="N176" s="70"/>
    </row>
    <row r="177" spans="2:14" x14ac:dyDescent="0.3">
      <c r="B177" s="68"/>
      <c r="N177" s="70"/>
    </row>
    <row r="178" spans="2:14" x14ac:dyDescent="0.3">
      <c r="B178" s="78" t="s">
        <v>132</v>
      </c>
      <c r="C178" s="57" t="s">
        <v>372</v>
      </c>
      <c r="N178" s="70"/>
    </row>
    <row r="179" spans="2:14" x14ac:dyDescent="0.3">
      <c r="B179" s="68" t="s">
        <v>359</v>
      </c>
      <c r="C179" s="56" t="s">
        <v>360</v>
      </c>
      <c r="J179" s="76"/>
      <c r="K179" s="77"/>
      <c r="L179" s="77"/>
      <c r="M179" s="69">
        <f t="shared" ref="M179:M193" si="13">L179*K179</f>
        <v>0</v>
      </c>
      <c r="N179" s="70"/>
    </row>
    <row r="180" spans="2:14" x14ac:dyDescent="0.3">
      <c r="B180" s="68" t="s">
        <v>361</v>
      </c>
      <c r="C180" s="56" t="s">
        <v>362</v>
      </c>
      <c r="J180" s="76"/>
      <c r="K180" s="77"/>
      <c r="L180" s="77"/>
      <c r="M180" s="69">
        <f t="shared" si="13"/>
        <v>0</v>
      </c>
      <c r="N180" s="70"/>
    </row>
    <row r="181" spans="2:14" x14ac:dyDescent="0.3">
      <c r="B181" s="68" t="s">
        <v>363</v>
      </c>
      <c r="C181" s="56" t="s">
        <v>364</v>
      </c>
      <c r="J181" s="76"/>
      <c r="K181" s="77"/>
      <c r="L181" s="77"/>
      <c r="M181" s="69">
        <f t="shared" si="13"/>
        <v>0</v>
      </c>
      <c r="N181" s="70"/>
    </row>
    <row r="182" spans="2:14" x14ac:dyDescent="0.3">
      <c r="B182" s="68" t="s">
        <v>365</v>
      </c>
      <c r="C182" s="56" t="s">
        <v>366</v>
      </c>
      <c r="J182" s="76"/>
      <c r="K182" s="77"/>
      <c r="L182" s="77"/>
      <c r="M182" s="69">
        <f t="shared" si="13"/>
        <v>0</v>
      </c>
      <c r="N182" s="70"/>
    </row>
    <row r="183" spans="2:14" x14ac:dyDescent="0.3">
      <c r="B183" s="68" t="s">
        <v>367</v>
      </c>
      <c r="C183" s="56" t="s">
        <v>368</v>
      </c>
      <c r="J183" s="76"/>
      <c r="K183" s="77"/>
      <c r="L183" s="77"/>
      <c r="M183" s="69">
        <f t="shared" si="13"/>
        <v>0</v>
      </c>
      <c r="N183" s="70"/>
    </row>
    <row r="184" spans="2:14" x14ac:dyDescent="0.3">
      <c r="B184" s="68" t="s">
        <v>369</v>
      </c>
      <c r="C184" s="56" t="s">
        <v>370</v>
      </c>
      <c r="J184" s="76"/>
      <c r="K184" s="77"/>
      <c r="L184" s="77"/>
      <c r="M184" s="69">
        <f t="shared" si="13"/>
        <v>0</v>
      </c>
      <c r="N184" s="70"/>
    </row>
    <row r="185" spans="2:14" x14ac:dyDescent="0.3">
      <c r="B185" s="68" t="s">
        <v>371</v>
      </c>
      <c r="C185" s="56" t="s">
        <v>575</v>
      </c>
      <c r="J185" s="76"/>
      <c r="K185" s="77"/>
      <c r="L185" s="77"/>
      <c r="M185" s="69">
        <f t="shared" si="13"/>
        <v>0</v>
      </c>
      <c r="N185" s="70"/>
    </row>
    <row r="186" spans="2:14" x14ac:dyDescent="0.3">
      <c r="B186" s="68" t="s">
        <v>373</v>
      </c>
      <c r="C186" s="56" t="s">
        <v>374</v>
      </c>
      <c r="J186" s="76"/>
      <c r="K186" s="77"/>
      <c r="L186" s="77"/>
      <c r="M186" s="69">
        <f t="shared" si="13"/>
        <v>0</v>
      </c>
      <c r="N186" s="70"/>
    </row>
    <row r="187" spans="2:14" x14ac:dyDescent="0.3">
      <c r="B187" s="68" t="s">
        <v>375</v>
      </c>
      <c r="C187" s="56" t="s">
        <v>376</v>
      </c>
      <c r="J187" s="76"/>
      <c r="K187" s="77"/>
      <c r="L187" s="77"/>
      <c r="M187" s="69">
        <f t="shared" si="13"/>
        <v>0</v>
      </c>
      <c r="N187" s="70"/>
    </row>
    <row r="188" spans="2:14" x14ac:dyDescent="0.3">
      <c r="B188" s="68" t="s">
        <v>377</v>
      </c>
      <c r="C188" s="56" t="s">
        <v>378</v>
      </c>
      <c r="J188" s="76"/>
      <c r="K188" s="77"/>
      <c r="L188" s="77"/>
      <c r="M188" s="69">
        <f t="shared" si="13"/>
        <v>0</v>
      </c>
      <c r="N188" s="70"/>
    </row>
    <row r="189" spans="2:14" x14ac:dyDescent="0.3">
      <c r="B189" s="68" t="s">
        <v>379</v>
      </c>
      <c r="C189" s="56" t="s">
        <v>380</v>
      </c>
      <c r="J189" s="76"/>
      <c r="K189" s="77"/>
      <c r="L189" s="77"/>
      <c r="M189" s="69">
        <f t="shared" si="13"/>
        <v>0</v>
      </c>
      <c r="N189" s="70"/>
    </row>
    <row r="190" spans="2:14" x14ac:dyDescent="0.3">
      <c r="B190" s="68" t="s">
        <v>381</v>
      </c>
      <c r="C190" s="56" t="s">
        <v>382</v>
      </c>
      <c r="J190" s="76"/>
      <c r="K190" s="77"/>
      <c r="L190" s="77"/>
      <c r="M190" s="69">
        <f t="shared" si="13"/>
        <v>0</v>
      </c>
      <c r="N190" s="70"/>
    </row>
    <row r="191" spans="2:14" x14ac:dyDescent="0.3">
      <c r="B191" s="68" t="s">
        <v>383</v>
      </c>
      <c r="C191" s="56" t="s">
        <v>384</v>
      </c>
      <c r="D191" s="56" t="s">
        <v>372</v>
      </c>
      <c r="J191" s="76"/>
      <c r="K191" s="77"/>
      <c r="L191" s="77"/>
      <c r="M191" s="69">
        <f t="shared" si="13"/>
        <v>0</v>
      </c>
      <c r="N191" s="70"/>
    </row>
    <row r="192" spans="2:14" x14ac:dyDescent="0.3">
      <c r="B192" s="68" t="s">
        <v>385</v>
      </c>
      <c r="C192" s="56" t="s">
        <v>386</v>
      </c>
      <c r="J192" s="76"/>
      <c r="K192" s="77"/>
      <c r="L192" s="77"/>
      <c r="M192" s="69">
        <f t="shared" si="13"/>
        <v>0</v>
      </c>
      <c r="N192" s="70"/>
    </row>
    <row r="193" spans="2:14" x14ac:dyDescent="0.3">
      <c r="B193" s="68" t="s">
        <v>387</v>
      </c>
      <c r="C193" s="340"/>
      <c r="D193" s="340"/>
      <c r="E193" s="340"/>
      <c r="F193" s="340"/>
      <c r="G193" s="340"/>
      <c r="H193" s="340"/>
      <c r="I193" s="83"/>
      <c r="J193" s="76"/>
      <c r="K193" s="77"/>
      <c r="L193" s="77"/>
      <c r="M193" s="69">
        <f t="shared" si="13"/>
        <v>0</v>
      </c>
      <c r="N193" s="70"/>
    </row>
    <row r="194" spans="2:14" x14ac:dyDescent="0.3">
      <c r="B194" s="68"/>
      <c r="N194" s="70"/>
    </row>
    <row r="195" spans="2:14" x14ac:dyDescent="0.3">
      <c r="B195" s="78" t="s">
        <v>134</v>
      </c>
      <c r="C195" s="57" t="s">
        <v>576</v>
      </c>
      <c r="N195" s="70"/>
    </row>
    <row r="196" spans="2:14" x14ac:dyDescent="0.3">
      <c r="B196" s="68" t="s">
        <v>388</v>
      </c>
      <c r="C196" s="56" t="s">
        <v>389</v>
      </c>
      <c r="J196" s="76"/>
      <c r="K196" s="77"/>
      <c r="L196" s="77"/>
      <c r="M196" s="69">
        <f t="shared" ref="M196:M202" si="14">L196*K196</f>
        <v>0</v>
      </c>
      <c r="N196" s="70"/>
    </row>
    <row r="197" spans="2:14" x14ac:dyDescent="0.3">
      <c r="B197" s="68" t="s">
        <v>390</v>
      </c>
      <c r="C197" s="56" t="s">
        <v>391</v>
      </c>
      <c r="J197" s="76"/>
      <c r="K197" s="77"/>
      <c r="L197" s="77"/>
      <c r="M197" s="69">
        <f t="shared" si="14"/>
        <v>0</v>
      </c>
      <c r="N197" s="70"/>
    </row>
    <row r="198" spans="2:14" x14ac:dyDescent="0.3">
      <c r="B198" s="68" t="s">
        <v>392</v>
      </c>
      <c r="C198" s="56" t="s">
        <v>393</v>
      </c>
      <c r="J198" s="76"/>
      <c r="K198" s="77"/>
      <c r="L198" s="77"/>
      <c r="M198" s="69">
        <f t="shared" si="14"/>
        <v>0</v>
      </c>
      <c r="N198" s="70"/>
    </row>
    <row r="199" spans="2:14" x14ac:dyDescent="0.3">
      <c r="B199" s="68" t="s">
        <v>394</v>
      </c>
      <c r="C199" s="56" t="s">
        <v>395</v>
      </c>
      <c r="J199" s="76"/>
      <c r="K199" s="77"/>
      <c r="L199" s="77"/>
      <c r="M199" s="69">
        <f t="shared" si="14"/>
        <v>0</v>
      </c>
      <c r="N199" s="70"/>
    </row>
    <row r="200" spans="2:14" x14ac:dyDescent="0.3">
      <c r="B200" s="68" t="s">
        <v>396</v>
      </c>
      <c r="C200" s="56" t="s">
        <v>397</v>
      </c>
      <c r="J200" s="76"/>
      <c r="K200" s="77"/>
      <c r="L200" s="77"/>
      <c r="M200" s="69">
        <f t="shared" si="14"/>
        <v>0</v>
      </c>
      <c r="N200" s="70"/>
    </row>
    <row r="201" spans="2:14" x14ac:dyDescent="0.3">
      <c r="B201" s="68" t="s">
        <v>398</v>
      </c>
      <c r="C201" s="56" t="s">
        <v>399</v>
      </c>
      <c r="J201" s="76"/>
      <c r="K201" s="77"/>
      <c r="L201" s="77"/>
      <c r="M201" s="69">
        <f t="shared" si="14"/>
        <v>0</v>
      </c>
      <c r="N201" s="70"/>
    </row>
    <row r="202" spans="2:14" x14ac:dyDescent="0.3">
      <c r="B202" s="68" t="s">
        <v>400</v>
      </c>
      <c r="C202" s="340"/>
      <c r="D202" s="340"/>
      <c r="E202" s="340"/>
      <c r="F202" s="340"/>
      <c r="G202" s="340"/>
      <c r="H202" s="340"/>
      <c r="I202" s="83"/>
      <c r="J202" s="76"/>
      <c r="K202" s="77"/>
      <c r="L202" s="77"/>
      <c r="M202" s="69">
        <f t="shared" si="14"/>
        <v>0</v>
      </c>
      <c r="N202" s="70"/>
    </row>
    <row r="203" spans="2:14" x14ac:dyDescent="0.3">
      <c r="B203" s="71"/>
      <c r="C203" s="72" t="s">
        <v>529</v>
      </c>
      <c r="D203" s="73"/>
      <c r="E203" s="73"/>
      <c r="F203" s="73"/>
      <c r="G203" s="73"/>
      <c r="H203" s="73"/>
      <c r="I203" s="73"/>
      <c r="J203" s="74"/>
      <c r="K203" s="74"/>
      <c r="L203" s="74"/>
      <c r="M203" s="75">
        <f>SUM(M143:M202)</f>
        <v>0</v>
      </c>
      <c r="N203" s="133">
        <f>IF($M$356=0,0,M203/$M$356)</f>
        <v>0</v>
      </c>
    </row>
    <row r="205" spans="2:14" x14ac:dyDescent="0.3">
      <c r="B205" s="62">
        <v>7</v>
      </c>
      <c r="C205" s="63" t="s">
        <v>136</v>
      </c>
      <c r="D205" s="64"/>
      <c r="E205" s="64"/>
      <c r="F205" s="64"/>
      <c r="G205" s="64"/>
      <c r="H205" s="64"/>
      <c r="I205" s="64"/>
      <c r="J205" s="65"/>
      <c r="K205" s="65"/>
      <c r="L205" s="65"/>
      <c r="M205" s="65"/>
      <c r="N205" s="67"/>
    </row>
    <row r="206" spans="2:14" x14ac:dyDescent="0.3">
      <c r="B206" s="78" t="s">
        <v>137</v>
      </c>
      <c r="C206" s="57" t="s">
        <v>352</v>
      </c>
      <c r="N206" s="70"/>
    </row>
    <row r="207" spans="2:14" x14ac:dyDescent="0.3">
      <c r="B207" s="68" t="s">
        <v>401</v>
      </c>
      <c r="C207" s="56" t="s">
        <v>402</v>
      </c>
      <c r="J207" s="76"/>
      <c r="K207" s="77"/>
      <c r="L207" s="77"/>
      <c r="M207" s="69">
        <f t="shared" ref="M207:M212" si="15">L207*K207</f>
        <v>0</v>
      </c>
      <c r="N207" s="70"/>
    </row>
    <row r="208" spans="2:14" x14ac:dyDescent="0.3">
      <c r="B208" s="68" t="s">
        <v>403</v>
      </c>
      <c r="C208" s="56" t="s">
        <v>404</v>
      </c>
      <c r="J208" s="76"/>
      <c r="K208" s="77"/>
      <c r="L208" s="77"/>
      <c r="M208" s="69">
        <f t="shared" si="15"/>
        <v>0</v>
      </c>
      <c r="N208" s="70"/>
    </row>
    <row r="209" spans="2:14" x14ac:dyDescent="0.3">
      <c r="B209" s="68" t="s">
        <v>405</v>
      </c>
      <c r="C209" s="56" t="s">
        <v>406</v>
      </c>
      <c r="J209" s="76"/>
      <c r="K209" s="77"/>
      <c r="L209" s="77"/>
      <c r="M209" s="69">
        <f t="shared" si="15"/>
        <v>0</v>
      </c>
      <c r="N209" s="70"/>
    </row>
    <row r="210" spans="2:14" x14ac:dyDescent="0.3">
      <c r="B210" s="68" t="s">
        <v>407</v>
      </c>
      <c r="C210" s="56" t="s">
        <v>408</v>
      </c>
      <c r="J210" s="76"/>
      <c r="K210" s="77"/>
      <c r="L210" s="77"/>
      <c r="M210" s="69">
        <f t="shared" si="15"/>
        <v>0</v>
      </c>
      <c r="N210" s="70"/>
    </row>
    <row r="211" spans="2:14" x14ac:dyDescent="0.3">
      <c r="B211" s="68" t="s">
        <v>409</v>
      </c>
      <c r="C211" s="56" t="s">
        <v>410</v>
      </c>
      <c r="J211" s="76"/>
      <c r="K211" s="77"/>
      <c r="L211" s="77"/>
      <c r="M211" s="69">
        <f t="shared" si="15"/>
        <v>0</v>
      </c>
      <c r="N211" s="70"/>
    </row>
    <row r="212" spans="2:14" x14ac:dyDescent="0.3">
      <c r="B212" s="68" t="s">
        <v>411</v>
      </c>
      <c r="C212" s="340"/>
      <c r="D212" s="340"/>
      <c r="E212" s="340"/>
      <c r="F212" s="340"/>
      <c r="G212" s="340"/>
      <c r="H212" s="340"/>
      <c r="I212" s="83"/>
      <c r="J212" s="76"/>
      <c r="K212" s="77"/>
      <c r="L212" s="77"/>
      <c r="M212" s="69">
        <f t="shared" si="15"/>
        <v>0</v>
      </c>
      <c r="N212" s="70"/>
    </row>
    <row r="213" spans="2:14" x14ac:dyDescent="0.3">
      <c r="B213" s="68"/>
      <c r="N213" s="70"/>
    </row>
    <row r="214" spans="2:14" x14ac:dyDescent="0.3">
      <c r="B214" s="78" t="s">
        <v>139</v>
      </c>
      <c r="C214" s="57" t="s">
        <v>434</v>
      </c>
      <c r="N214" s="70"/>
    </row>
    <row r="215" spans="2:14" x14ac:dyDescent="0.3">
      <c r="B215" s="68" t="s">
        <v>412</v>
      </c>
      <c r="C215" s="56" t="s">
        <v>413</v>
      </c>
      <c r="J215" s="76"/>
      <c r="K215" s="77"/>
      <c r="L215" s="77"/>
      <c r="M215" s="69">
        <f>L215*K215</f>
        <v>0</v>
      </c>
      <c r="N215" s="70"/>
    </row>
    <row r="216" spans="2:14" x14ac:dyDescent="0.3">
      <c r="B216" s="68" t="s">
        <v>414</v>
      </c>
      <c r="C216" s="56" t="s">
        <v>415</v>
      </c>
      <c r="J216" s="76"/>
      <c r="K216" s="77"/>
      <c r="L216" s="77"/>
      <c r="M216" s="69">
        <f>L216*K216</f>
        <v>0</v>
      </c>
      <c r="N216" s="70"/>
    </row>
    <row r="217" spans="2:14" x14ac:dyDescent="0.3">
      <c r="B217" s="68" t="s">
        <v>416</v>
      </c>
      <c r="C217" s="56" t="s">
        <v>417</v>
      </c>
      <c r="J217" s="76"/>
      <c r="K217" s="77"/>
      <c r="L217" s="77"/>
      <c r="M217" s="69">
        <f>L217*K217</f>
        <v>0</v>
      </c>
      <c r="N217" s="70"/>
    </row>
    <row r="218" spans="2:14" x14ac:dyDescent="0.3">
      <c r="B218" s="68" t="s">
        <v>418</v>
      </c>
      <c r="C218" s="56" t="s">
        <v>347</v>
      </c>
      <c r="J218" s="76"/>
      <c r="K218" s="77"/>
      <c r="L218" s="77"/>
      <c r="M218" s="69">
        <f>L218*K218</f>
        <v>0</v>
      </c>
      <c r="N218" s="70"/>
    </row>
    <row r="219" spans="2:14" x14ac:dyDescent="0.3">
      <c r="B219" s="68" t="s">
        <v>419</v>
      </c>
      <c r="C219" s="340"/>
      <c r="D219" s="340"/>
      <c r="E219" s="340"/>
      <c r="F219" s="340"/>
      <c r="G219" s="340"/>
      <c r="H219" s="340"/>
      <c r="I219" s="83"/>
      <c r="J219" s="76"/>
      <c r="K219" s="77"/>
      <c r="L219" s="77"/>
      <c r="M219" s="69">
        <f>L219*K219</f>
        <v>0</v>
      </c>
      <c r="N219" s="70"/>
    </row>
    <row r="220" spans="2:14" x14ac:dyDescent="0.3">
      <c r="B220" s="68"/>
      <c r="N220" s="70"/>
    </row>
    <row r="221" spans="2:14" x14ac:dyDescent="0.3">
      <c r="B221" s="78" t="s">
        <v>141</v>
      </c>
      <c r="C221" s="57" t="s">
        <v>425</v>
      </c>
      <c r="N221" s="70"/>
    </row>
    <row r="222" spans="2:14" x14ac:dyDescent="0.3">
      <c r="B222" s="68" t="s">
        <v>420</v>
      </c>
      <c r="C222" s="56" t="s">
        <v>421</v>
      </c>
      <c r="J222" s="76"/>
      <c r="K222" s="77"/>
      <c r="L222" s="77"/>
      <c r="M222" s="69">
        <f>L222*K222</f>
        <v>0</v>
      </c>
      <c r="N222" s="70"/>
    </row>
    <row r="223" spans="2:14" x14ac:dyDescent="0.3">
      <c r="B223" s="68" t="s">
        <v>422</v>
      </c>
      <c r="C223" s="56" t="s">
        <v>423</v>
      </c>
      <c r="J223" s="76"/>
      <c r="K223" s="77"/>
      <c r="L223" s="77"/>
      <c r="M223" s="69">
        <f>L223*K223</f>
        <v>0</v>
      </c>
      <c r="N223" s="70"/>
    </row>
    <row r="224" spans="2:14" x14ac:dyDescent="0.3">
      <c r="B224" s="68" t="s">
        <v>424</v>
      </c>
      <c r="C224" s="56" t="s">
        <v>425</v>
      </c>
      <c r="J224" s="76"/>
      <c r="K224" s="77"/>
      <c r="L224" s="77"/>
      <c r="M224" s="69">
        <f>L224*K224</f>
        <v>0</v>
      </c>
      <c r="N224" s="70"/>
    </row>
    <row r="225" spans="2:14" x14ac:dyDescent="0.3">
      <c r="B225" s="68" t="s">
        <v>426</v>
      </c>
      <c r="C225" s="340"/>
      <c r="D225" s="340"/>
      <c r="E225" s="340"/>
      <c r="F225" s="340"/>
      <c r="G225" s="340"/>
      <c r="H225" s="340"/>
      <c r="I225" s="83"/>
      <c r="J225" s="76"/>
      <c r="K225" s="77"/>
      <c r="L225" s="77"/>
      <c r="M225" s="69">
        <f>L225*K225</f>
        <v>0</v>
      </c>
      <c r="N225" s="70"/>
    </row>
    <row r="226" spans="2:14" x14ac:dyDescent="0.3">
      <c r="B226" s="68"/>
      <c r="N226" s="70"/>
    </row>
    <row r="227" spans="2:14" x14ac:dyDescent="0.3">
      <c r="B227" s="78" t="s">
        <v>143</v>
      </c>
      <c r="C227" s="57" t="s">
        <v>577</v>
      </c>
      <c r="N227" s="70"/>
    </row>
    <row r="228" spans="2:14" x14ac:dyDescent="0.3">
      <c r="B228" s="68" t="s">
        <v>427</v>
      </c>
      <c r="C228" s="56" t="s">
        <v>413</v>
      </c>
      <c r="J228" s="76"/>
      <c r="K228" s="77"/>
      <c r="L228" s="77"/>
      <c r="M228" s="69">
        <f>L228*K228</f>
        <v>0</v>
      </c>
      <c r="N228" s="70"/>
    </row>
    <row r="229" spans="2:14" x14ac:dyDescent="0.3">
      <c r="B229" s="68" t="s">
        <v>428</v>
      </c>
      <c r="C229" s="56" t="s">
        <v>429</v>
      </c>
      <c r="J229" s="76"/>
      <c r="K229" s="77"/>
      <c r="L229" s="77"/>
      <c r="M229" s="69">
        <f>L229*K229</f>
        <v>0</v>
      </c>
      <c r="N229" s="70"/>
    </row>
    <row r="230" spans="2:14" x14ac:dyDescent="0.3">
      <c r="B230" s="68" t="s">
        <v>430</v>
      </c>
      <c r="C230" s="56" t="s">
        <v>431</v>
      </c>
      <c r="J230" s="76"/>
      <c r="K230" s="77"/>
      <c r="L230" s="77"/>
      <c r="M230" s="69">
        <f>L230*K230</f>
        <v>0</v>
      </c>
      <c r="N230" s="70"/>
    </row>
    <row r="231" spans="2:14" x14ac:dyDescent="0.3">
      <c r="B231" s="68" t="s">
        <v>432</v>
      </c>
      <c r="C231" s="340"/>
      <c r="D231" s="340"/>
      <c r="E231" s="340"/>
      <c r="F231" s="340"/>
      <c r="G231" s="340"/>
      <c r="H231" s="340"/>
      <c r="I231" s="83"/>
      <c r="J231" s="76"/>
      <c r="K231" s="77"/>
      <c r="L231" s="77"/>
      <c r="M231" s="69">
        <f>L231*K231</f>
        <v>0</v>
      </c>
      <c r="N231" s="70"/>
    </row>
    <row r="232" spans="2:14" x14ac:dyDescent="0.3">
      <c r="B232" s="68"/>
      <c r="N232" s="70"/>
    </row>
    <row r="233" spans="2:14" x14ac:dyDescent="0.3">
      <c r="B233" s="78" t="s">
        <v>145</v>
      </c>
      <c r="C233" s="57" t="s">
        <v>578</v>
      </c>
      <c r="N233" s="70"/>
    </row>
    <row r="234" spans="2:14" x14ac:dyDescent="0.3">
      <c r="B234" s="68" t="s">
        <v>579</v>
      </c>
      <c r="C234" s="56" t="s">
        <v>352</v>
      </c>
      <c r="J234" s="76"/>
      <c r="K234" s="77"/>
      <c r="L234" s="77"/>
      <c r="M234" s="69">
        <f t="shared" ref="M234:M239" si="16">L234*K234</f>
        <v>0</v>
      </c>
      <c r="N234" s="70"/>
    </row>
    <row r="235" spans="2:14" x14ac:dyDescent="0.3">
      <c r="B235" s="68" t="s">
        <v>580</v>
      </c>
      <c r="C235" s="56" t="s">
        <v>393</v>
      </c>
      <c r="J235" s="76"/>
      <c r="K235" s="77"/>
      <c r="L235" s="77"/>
      <c r="M235" s="69">
        <f t="shared" si="16"/>
        <v>0</v>
      </c>
      <c r="N235" s="70"/>
    </row>
    <row r="236" spans="2:14" x14ac:dyDescent="0.3">
      <c r="B236" s="68" t="s">
        <v>581</v>
      </c>
      <c r="C236" s="56" t="s">
        <v>433</v>
      </c>
      <c r="J236" s="76"/>
      <c r="K236" s="77"/>
      <c r="L236" s="77"/>
      <c r="M236" s="69">
        <f t="shared" si="16"/>
        <v>0</v>
      </c>
      <c r="N236" s="70"/>
    </row>
    <row r="237" spans="2:14" x14ac:dyDescent="0.3">
      <c r="B237" s="68" t="s">
        <v>582</v>
      </c>
      <c r="C237" s="56" t="s">
        <v>434</v>
      </c>
      <c r="J237" s="76"/>
      <c r="K237" s="77"/>
      <c r="L237" s="77"/>
      <c r="M237" s="69">
        <f t="shared" si="16"/>
        <v>0</v>
      </c>
      <c r="N237" s="70"/>
    </row>
    <row r="238" spans="2:14" x14ac:dyDescent="0.3">
      <c r="B238" s="68" t="s">
        <v>583</v>
      </c>
      <c r="C238" s="56" t="s">
        <v>435</v>
      </c>
      <c r="J238" s="76"/>
      <c r="K238" s="77"/>
      <c r="L238" s="77"/>
      <c r="M238" s="69">
        <f t="shared" si="16"/>
        <v>0</v>
      </c>
      <c r="N238" s="70"/>
    </row>
    <row r="239" spans="2:14" x14ac:dyDescent="0.3">
      <c r="B239" s="68" t="s">
        <v>584</v>
      </c>
      <c r="C239" s="56" t="s">
        <v>436</v>
      </c>
      <c r="J239" s="76"/>
      <c r="K239" s="77"/>
      <c r="L239" s="77"/>
      <c r="M239" s="69">
        <f t="shared" si="16"/>
        <v>0</v>
      </c>
      <c r="N239" s="70"/>
    </row>
    <row r="240" spans="2:14" x14ac:dyDescent="0.3">
      <c r="B240" s="68"/>
      <c r="N240" s="70"/>
    </row>
    <row r="241" spans="2:14" x14ac:dyDescent="0.3">
      <c r="B241" s="78" t="s">
        <v>147</v>
      </c>
      <c r="C241" s="57" t="s">
        <v>585</v>
      </c>
      <c r="N241" s="70"/>
    </row>
    <row r="242" spans="2:14" x14ac:dyDescent="0.3">
      <c r="B242" s="68" t="s">
        <v>440</v>
      </c>
      <c r="C242" s="56" t="s">
        <v>393</v>
      </c>
      <c r="J242" s="76"/>
      <c r="K242" s="77"/>
      <c r="L242" s="77"/>
      <c r="M242" s="69">
        <f>L242*K242</f>
        <v>0</v>
      </c>
      <c r="N242" s="70"/>
    </row>
    <row r="243" spans="2:14" x14ac:dyDescent="0.3">
      <c r="B243" s="68" t="s">
        <v>441</v>
      </c>
      <c r="C243" s="56" t="s">
        <v>433</v>
      </c>
      <c r="J243" s="76"/>
      <c r="K243" s="77"/>
      <c r="L243" s="77"/>
      <c r="M243" s="69">
        <f>L243*K243</f>
        <v>0</v>
      </c>
      <c r="N243" s="70"/>
    </row>
    <row r="244" spans="2:14" x14ac:dyDescent="0.3">
      <c r="B244" s="68" t="s">
        <v>442</v>
      </c>
      <c r="C244" s="56" t="s">
        <v>438</v>
      </c>
      <c r="J244" s="76"/>
      <c r="K244" s="77"/>
      <c r="L244" s="77"/>
      <c r="M244" s="69">
        <f>L244*K244</f>
        <v>0</v>
      </c>
      <c r="N244" s="70"/>
    </row>
    <row r="245" spans="2:14" x14ac:dyDescent="0.3">
      <c r="B245" s="68" t="s">
        <v>443</v>
      </c>
      <c r="C245" s="56" t="s">
        <v>439</v>
      </c>
      <c r="J245" s="76"/>
      <c r="K245" s="77"/>
      <c r="L245" s="77"/>
      <c r="M245" s="69">
        <f>L245*K245</f>
        <v>0</v>
      </c>
      <c r="N245" s="70"/>
    </row>
    <row r="246" spans="2:14" x14ac:dyDescent="0.3">
      <c r="B246" s="68"/>
      <c r="N246" s="70"/>
    </row>
    <row r="247" spans="2:14" x14ac:dyDescent="0.3">
      <c r="B247" s="78" t="s">
        <v>445</v>
      </c>
      <c r="C247" s="57" t="s">
        <v>437</v>
      </c>
      <c r="N247" s="70"/>
    </row>
    <row r="248" spans="2:14" x14ac:dyDescent="0.3">
      <c r="B248" s="68" t="s">
        <v>586</v>
      </c>
      <c r="C248" s="56" t="s">
        <v>393</v>
      </c>
      <c r="J248" s="76"/>
      <c r="K248" s="77"/>
      <c r="L248" s="77"/>
      <c r="M248" s="69">
        <f>L248*K248</f>
        <v>0</v>
      </c>
      <c r="N248" s="70"/>
    </row>
    <row r="249" spans="2:14" x14ac:dyDescent="0.3">
      <c r="B249" s="68" t="s">
        <v>587</v>
      </c>
      <c r="C249" s="56" t="s">
        <v>433</v>
      </c>
      <c r="J249" s="76"/>
      <c r="K249" s="77"/>
      <c r="L249" s="77"/>
      <c r="M249" s="69">
        <f>L249*K249</f>
        <v>0</v>
      </c>
      <c r="N249" s="70"/>
    </row>
    <row r="250" spans="2:14" x14ac:dyDescent="0.3">
      <c r="B250" s="68" t="s">
        <v>588</v>
      </c>
      <c r="C250" s="56" t="s">
        <v>438</v>
      </c>
      <c r="J250" s="76"/>
      <c r="K250" s="77"/>
      <c r="L250" s="77"/>
      <c r="M250" s="69">
        <f>L250*K250</f>
        <v>0</v>
      </c>
      <c r="N250" s="70"/>
    </row>
    <row r="251" spans="2:14" x14ac:dyDescent="0.3">
      <c r="B251" s="68" t="s">
        <v>589</v>
      </c>
      <c r="C251" s="56" t="s">
        <v>439</v>
      </c>
      <c r="J251" s="76"/>
      <c r="K251" s="77"/>
      <c r="L251" s="77"/>
      <c r="M251" s="69">
        <f>L251*K251</f>
        <v>0</v>
      </c>
      <c r="N251" s="70"/>
    </row>
    <row r="252" spans="2:14" x14ac:dyDescent="0.3">
      <c r="B252" s="68"/>
      <c r="N252" s="70"/>
    </row>
    <row r="253" spans="2:14" x14ac:dyDescent="0.3">
      <c r="B253" s="78" t="s">
        <v>590</v>
      </c>
      <c r="C253" s="57" t="s">
        <v>591</v>
      </c>
      <c r="E253" s="55"/>
      <c r="N253" s="70"/>
    </row>
    <row r="254" spans="2:14" x14ac:dyDescent="0.3">
      <c r="B254" s="68" t="s">
        <v>592</v>
      </c>
      <c r="C254" s="56" t="s">
        <v>413</v>
      </c>
      <c r="E254" s="55"/>
      <c r="J254" s="76"/>
      <c r="K254" s="77"/>
      <c r="L254" s="77"/>
      <c r="M254" s="69">
        <f t="shared" ref="M254:M260" si="17">L254*K254</f>
        <v>0</v>
      </c>
      <c r="N254" s="70"/>
    </row>
    <row r="255" spans="2:14" x14ac:dyDescent="0.3">
      <c r="B255" s="68" t="s">
        <v>593</v>
      </c>
      <c r="C255" s="56" t="s">
        <v>393</v>
      </c>
      <c r="J255" s="76"/>
      <c r="K255" s="77"/>
      <c r="L255" s="77"/>
      <c r="M255" s="69">
        <f t="shared" si="17"/>
        <v>0</v>
      </c>
      <c r="N255" s="70"/>
    </row>
    <row r="256" spans="2:14" x14ac:dyDescent="0.3">
      <c r="B256" s="68" t="s">
        <v>594</v>
      </c>
      <c r="C256" s="56" t="s">
        <v>439</v>
      </c>
      <c r="J256" s="76"/>
      <c r="K256" s="77"/>
      <c r="L256" s="77"/>
      <c r="M256" s="69">
        <f t="shared" si="17"/>
        <v>0</v>
      </c>
      <c r="N256" s="70"/>
    </row>
    <row r="257" spans="2:14" x14ac:dyDescent="0.3">
      <c r="B257" s="68" t="s">
        <v>595</v>
      </c>
      <c r="C257" s="56" t="s">
        <v>444</v>
      </c>
      <c r="J257" s="76"/>
      <c r="K257" s="77"/>
      <c r="L257" s="77"/>
      <c r="M257" s="69">
        <f t="shared" si="17"/>
        <v>0</v>
      </c>
      <c r="N257" s="70"/>
    </row>
    <row r="258" spans="2:14" x14ac:dyDescent="0.3">
      <c r="B258" s="68" t="s">
        <v>596</v>
      </c>
      <c r="C258" s="56" t="s">
        <v>433</v>
      </c>
      <c r="J258" s="76"/>
      <c r="K258" s="77"/>
      <c r="L258" s="77"/>
      <c r="M258" s="69">
        <f t="shared" si="17"/>
        <v>0</v>
      </c>
      <c r="N258" s="70"/>
    </row>
    <row r="259" spans="2:14" x14ac:dyDescent="0.3">
      <c r="B259" s="68" t="s">
        <v>597</v>
      </c>
      <c r="C259" s="340"/>
      <c r="D259" s="340"/>
      <c r="E259" s="340"/>
      <c r="F259" s="340"/>
      <c r="G259" s="340"/>
      <c r="H259" s="340"/>
      <c r="I259" s="83"/>
      <c r="J259" s="76"/>
      <c r="K259" s="77"/>
      <c r="L259" s="77"/>
      <c r="M259" s="69">
        <f t="shared" si="17"/>
        <v>0</v>
      </c>
      <c r="N259" s="70"/>
    </row>
    <row r="260" spans="2:14" x14ac:dyDescent="0.3">
      <c r="B260" s="68" t="s">
        <v>598</v>
      </c>
      <c r="C260" s="340"/>
      <c r="D260" s="340"/>
      <c r="E260" s="340"/>
      <c r="F260" s="340"/>
      <c r="G260" s="340"/>
      <c r="H260" s="340"/>
      <c r="I260" s="83"/>
      <c r="J260" s="76"/>
      <c r="K260" s="77"/>
      <c r="L260" s="77"/>
      <c r="M260" s="69">
        <f t="shared" si="17"/>
        <v>0</v>
      </c>
      <c r="N260" s="70"/>
    </row>
    <row r="261" spans="2:14" x14ac:dyDescent="0.3">
      <c r="B261" s="71"/>
      <c r="C261" s="72" t="s">
        <v>529</v>
      </c>
      <c r="D261" s="73"/>
      <c r="E261" s="74"/>
      <c r="F261" s="73"/>
      <c r="G261" s="73"/>
      <c r="H261" s="73"/>
      <c r="I261" s="73"/>
      <c r="J261" s="74"/>
      <c r="K261" s="74"/>
      <c r="L261" s="74"/>
      <c r="M261" s="75">
        <f>SUM(M205:M260)</f>
        <v>0</v>
      </c>
      <c r="N261" s="133">
        <f>IF($M$356=0,0,M261/$M$356)</f>
        <v>0</v>
      </c>
    </row>
    <row r="262" spans="2:14" x14ac:dyDescent="0.3">
      <c r="E262" s="55"/>
    </row>
    <row r="263" spans="2:14" x14ac:dyDescent="0.3">
      <c r="B263" s="62">
        <v>8</v>
      </c>
      <c r="C263" s="63" t="s">
        <v>599</v>
      </c>
      <c r="D263" s="64"/>
      <c r="E263" s="65"/>
      <c r="F263" s="64"/>
      <c r="G263" s="64"/>
      <c r="H263" s="64"/>
      <c r="I263" s="64"/>
      <c r="J263" s="65"/>
      <c r="K263" s="65"/>
      <c r="L263" s="65"/>
      <c r="M263" s="65"/>
      <c r="N263" s="67"/>
    </row>
    <row r="264" spans="2:14" x14ac:dyDescent="0.3">
      <c r="B264" s="78" t="s">
        <v>150</v>
      </c>
      <c r="C264" s="57" t="s">
        <v>600</v>
      </c>
      <c r="E264" s="55"/>
      <c r="N264" s="70"/>
    </row>
    <row r="265" spans="2:14" x14ac:dyDescent="0.3">
      <c r="B265" s="68" t="s">
        <v>446</v>
      </c>
      <c r="C265" s="56" t="s">
        <v>447</v>
      </c>
      <c r="E265" s="55"/>
      <c r="J265" s="76"/>
      <c r="K265" s="77"/>
      <c r="L265" s="77"/>
      <c r="M265" s="69">
        <f t="shared" ref="M265:M281" si="18">L265*K265</f>
        <v>0</v>
      </c>
      <c r="N265" s="70"/>
    </row>
    <row r="266" spans="2:14" x14ac:dyDescent="0.3">
      <c r="B266" s="68" t="s">
        <v>448</v>
      </c>
      <c r="C266" s="56" t="s">
        <v>449</v>
      </c>
      <c r="J266" s="76"/>
      <c r="K266" s="77"/>
      <c r="L266" s="77"/>
      <c r="M266" s="69">
        <f t="shared" si="18"/>
        <v>0</v>
      </c>
      <c r="N266" s="70"/>
    </row>
    <row r="267" spans="2:14" x14ac:dyDescent="0.3">
      <c r="B267" s="68" t="s">
        <v>450</v>
      </c>
      <c r="C267" s="56" t="s">
        <v>451</v>
      </c>
      <c r="J267" s="76"/>
      <c r="K267" s="77"/>
      <c r="L267" s="77"/>
      <c r="M267" s="69">
        <f t="shared" si="18"/>
        <v>0</v>
      </c>
      <c r="N267" s="70"/>
    </row>
    <row r="268" spans="2:14" x14ac:dyDescent="0.3">
      <c r="B268" s="68" t="s">
        <v>452</v>
      </c>
      <c r="C268" s="56" t="s">
        <v>453</v>
      </c>
      <c r="J268" s="76"/>
      <c r="K268" s="77"/>
      <c r="L268" s="77"/>
      <c r="M268" s="69">
        <f t="shared" si="18"/>
        <v>0</v>
      </c>
      <c r="N268" s="70"/>
    </row>
    <row r="269" spans="2:14" x14ac:dyDescent="0.3">
      <c r="B269" s="68" t="s">
        <v>454</v>
      </c>
      <c r="C269" s="56" t="s">
        <v>455</v>
      </c>
      <c r="J269" s="76"/>
      <c r="K269" s="77"/>
      <c r="L269" s="77"/>
      <c r="M269" s="69">
        <f t="shared" si="18"/>
        <v>0</v>
      </c>
      <c r="N269" s="70"/>
    </row>
    <row r="270" spans="2:14" x14ac:dyDescent="0.3">
      <c r="B270" s="68" t="s">
        <v>456</v>
      </c>
      <c r="C270" s="56" t="s">
        <v>457</v>
      </c>
      <c r="J270" s="76"/>
      <c r="K270" s="77"/>
      <c r="L270" s="77"/>
      <c r="M270" s="69">
        <f t="shared" si="18"/>
        <v>0</v>
      </c>
      <c r="N270" s="70"/>
    </row>
    <row r="271" spans="2:14" x14ac:dyDescent="0.3">
      <c r="B271" s="68" t="s">
        <v>458</v>
      </c>
      <c r="C271" s="56" t="s">
        <v>459</v>
      </c>
      <c r="J271" s="76"/>
      <c r="K271" s="77"/>
      <c r="L271" s="77"/>
      <c r="M271" s="69">
        <f t="shared" si="18"/>
        <v>0</v>
      </c>
      <c r="N271" s="70"/>
    </row>
    <row r="272" spans="2:14" x14ac:dyDescent="0.3">
      <c r="B272" s="68" t="s">
        <v>460</v>
      </c>
      <c r="C272" s="56" t="s">
        <v>461</v>
      </c>
      <c r="J272" s="76"/>
      <c r="K272" s="77"/>
      <c r="L272" s="77"/>
      <c r="M272" s="69">
        <f t="shared" si="18"/>
        <v>0</v>
      </c>
      <c r="N272" s="70"/>
    </row>
    <row r="273" spans="2:14" x14ac:dyDescent="0.3">
      <c r="B273" s="68" t="s">
        <v>462</v>
      </c>
      <c r="C273" s="56" t="s">
        <v>463</v>
      </c>
      <c r="J273" s="76"/>
      <c r="K273" s="77"/>
      <c r="L273" s="77"/>
      <c r="M273" s="69">
        <f t="shared" si="18"/>
        <v>0</v>
      </c>
      <c r="N273" s="70"/>
    </row>
    <row r="274" spans="2:14" x14ac:dyDescent="0.3">
      <c r="B274" s="68" t="s">
        <v>464</v>
      </c>
      <c r="C274" s="56" t="s">
        <v>465</v>
      </c>
      <c r="J274" s="76"/>
      <c r="K274" s="77"/>
      <c r="L274" s="77"/>
      <c r="M274" s="69">
        <f t="shared" si="18"/>
        <v>0</v>
      </c>
      <c r="N274" s="70"/>
    </row>
    <row r="275" spans="2:14" x14ac:dyDescent="0.3">
      <c r="B275" s="68" t="s">
        <v>466</v>
      </c>
      <c r="C275" s="56" t="s">
        <v>467</v>
      </c>
      <c r="J275" s="76"/>
      <c r="K275" s="77"/>
      <c r="L275" s="77"/>
      <c r="M275" s="69">
        <f t="shared" si="18"/>
        <v>0</v>
      </c>
      <c r="N275" s="70"/>
    </row>
    <row r="276" spans="2:14" x14ac:dyDescent="0.3">
      <c r="B276" s="68" t="s">
        <v>468</v>
      </c>
      <c r="C276" s="56" t="s">
        <v>469</v>
      </c>
      <c r="J276" s="76"/>
      <c r="K276" s="77"/>
      <c r="L276" s="77"/>
      <c r="M276" s="69">
        <f t="shared" si="18"/>
        <v>0</v>
      </c>
      <c r="N276" s="70"/>
    </row>
    <row r="277" spans="2:14" x14ac:dyDescent="0.3">
      <c r="B277" s="68" t="s">
        <v>470</v>
      </c>
      <c r="C277" s="56" t="s">
        <v>471</v>
      </c>
      <c r="J277" s="76"/>
      <c r="K277" s="77"/>
      <c r="L277" s="77"/>
      <c r="M277" s="69">
        <f t="shared" si="18"/>
        <v>0</v>
      </c>
      <c r="N277" s="70"/>
    </row>
    <row r="278" spans="2:14" x14ac:dyDescent="0.3">
      <c r="B278" s="68" t="s">
        <v>472</v>
      </c>
      <c r="C278" s="56" t="s">
        <v>473</v>
      </c>
      <c r="J278" s="76"/>
      <c r="K278" s="77"/>
      <c r="L278" s="77"/>
      <c r="M278" s="69">
        <f t="shared" si="18"/>
        <v>0</v>
      </c>
      <c r="N278" s="70"/>
    </row>
    <row r="279" spans="2:14" x14ac:dyDescent="0.3">
      <c r="B279" s="68" t="s">
        <v>474</v>
      </c>
      <c r="C279" s="56" t="s">
        <v>475</v>
      </c>
      <c r="J279" s="76"/>
      <c r="K279" s="77"/>
      <c r="L279" s="77"/>
      <c r="M279" s="69">
        <f t="shared" si="18"/>
        <v>0</v>
      </c>
      <c r="N279" s="70"/>
    </row>
    <row r="280" spans="2:14" x14ac:dyDescent="0.3">
      <c r="B280" s="68" t="s">
        <v>476</v>
      </c>
      <c r="C280" s="340"/>
      <c r="D280" s="340"/>
      <c r="E280" s="340"/>
      <c r="F280" s="340"/>
      <c r="G280" s="340"/>
      <c r="H280" s="340"/>
      <c r="I280" s="83"/>
      <c r="J280" s="76"/>
      <c r="K280" s="77"/>
      <c r="L280" s="77"/>
      <c r="M280" s="69">
        <f t="shared" si="18"/>
        <v>0</v>
      </c>
      <c r="N280" s="70"/>
    </row>
    <row r="281" spans="2:14" x14ac:dyDescent="0.3">
      <c r="B281" s="68" t="s">
        <v>477</v>
      </c>
      <c r="C281" s="340"/>
      <c r="D281" s="340"/>
      <c r="E281" s="340"/>
      <c r="F281" s="340"/>
      <c r="G281" s="340"/>
      <c r="H281" s="340"/>
      <c r="I281" s="83"/>
      <c r="J281" s="76"/>
      <c r="K281" s="77"/>
      <c r="L281" s="77"/>
      <c r="M281" s="69">
        <f t="shared" si="18"/>
        <v>0</v>
      </c>
      <c r="N281" s="70"/>
    </row>
    <row r="282" spans="2:14" x14ac:dyDescent="0.3">
      <c r="B282" s="68"/>
      <c r="N282" s="70"/>
    </row>
    <row r="283" spans="2:14" x14ac:dyDescent="0.3">
      <c r="B283" s="78" t="s">
        <v>152</v>
      </c>
      <c r="C283" s="57" t="s">
        <v>601</v>
      </c>
      <c r="E283" s="55"/>
      <c r="N283" s="70"/>
    </row>
    <row r="284" spans="2:14" x14ac:dyDescent="0.3">
      <c r="B284" s="68" t="s">
        <v>604</v>
      </c>
      <c r="C284" s="56" t="s">
        <v>478</v>
      </c>
      <c r="E284" s="55"/>
      <c r="J284" s="76"/>
      <c r="K284" s="77"/>
      <c r="L284" s="77"/>
      <c r="M284" s="69">
        <f t="shared" ref="M284:M290" si="19">L284*K284</f>
        <v>0</v>
      </c>
      <c r="N284" s="70"/>
    </row>
    <row r="285" spans="2:14" x14ac:dyDescent="0.3">
      <c r="B285" s="68" t="s">
        <v>605</v>
      </c>
      <c r="C285" s="56" t="s">
        <v>479</v>
      </c>
      <c r="J285" s="76"/>
      <c r="K285" s="77"/>
      <c r="L285" s="77"/>
      <c r="M285" s="69">
        <f t="shared" si="19"/>
        <v>0</v>
      </c>
      <c r="N285" s="70"/>
    </row>
    <row r="286" spans="2:14" x14ac:dyDescent="0.3">
      <c r="B286" s="68" t="s">
        <v>606</v>
      </c>
      <c r="C286" s="56" t="s">
        <v>480</v>
      </c>
      <c r="J286" s="76"/>
      <c r="K286" s="77"/>
      <c r="L286" s="77"/>
      <c r="M286" s="69">
        <f t="shared" si="19"/>
        <v>0</v>
      </c>
      <c r="N286" s="70"/>
    </row>
    <row r="287" spans="2:14" x14ac:dyDescent="0.3">
      <c r="B287" s="68" t="s">
        <v>607</v>
      </c>
      <c r="C287" s="56" t="s">
        <v>481</v>
      </c>
      <c r="J287" s="76"/>
      <c r="K287" s="77"/>
      <c r="L287" s="77"/>
      <c r="M287" s="69">
        <f t="shared" si="19"/>
        <v>0</v>
      </c>
      <c r="N287" s="70"/>
    </row>
    <row r="288" spans="2:14" x14ac:dyDescent="0.3">
      <c r="B288" s="68" t="s">
        <v>608</v>
      </c>
      <c r="C288" s="56" t="s">
        <v>602</v>
      </c>
      <c r="J288" s="76"/>
      <c r="K288" s="77"/>
      <c r="L288" s="77"/>
      <c r="M288" s="69">
        <f t="shared" si="19"/>
        <v>0</v>
      </c>
      <c r="N288" s="70"/>
    </row>
    <row r="289" spans="2:14" x14ac:dyDescent="0.3">
      <c r="B289" s="68" t="s">
        <v>609</v>
      </c>
      <c r="C289" s="340"/>
      <c r="D289" s="340"/>
      <c r="E289" s="340"/>
      <c r="F289" s="340"/>
      <c r="G289" s="340"/>
      <c r="H289" s="340"/>
      <c r="I289" s="83"/>
      <c r="J289" s="76"/>
      <c r="K289" s="77"/>
      <c r="L289" s="77"/>
      <c r="M289" s="69">
        <f t="shared" si="19"/>
        <v>0</v>
      </c>
      <c r="N289" s="70"/>
    </row>
    <row r="290" spans="2:14" x14ac:dyDescent="0.3">
      <c r="B290" s="68" t="s">
        <v>610</v>
      </c>
      <c r="C290" s="340"/>
      <c r="D290" s="340"/>
      <c r="E290" s="340"/>
      <c r="F290" s="340"/>
      <c r="G290" s="340"/>
      <c r="H290" s="340"/>
      <c r="I290" s="83"/>
      <c r="J290" s="76"/>
      <c r="K290" s="77"/>
      <c r="L290" s="77"/>
      <c r="M290" s="69">
        <f t="shared" si="19"/>
        <v>0</v>
      </c>
      <c r="N290" s="70"/>
    </row>
    <row r="291" spans="2:14" x14ac:dyDescent="0.3">
      <c r="B291" s="68"/>
      <c r="N291" s="70"/>
    </row>
    <row r="292" spans="2:14" x14ac:dyDescent="0.3">
      <c r="B292" s="78" t="s">
        <v>153</v>
      </c>
      <c r="C292" s="57" t="s">
        <v>603</v>
      </c>
      <c r="N292" s="70"/>
    </row>
    <row r="293" spans="2:14" x14ac:dyDescent="0.3">
      <c r="B293" s="68" t="s">
        <v>493</v>
      </c>
      <c r="C293" s="56" t="s">
        <v>479</v>
      </c>
      <c r="J293" s="76"/>
      <c r="K293" s="77"/>
      <c r="L293" s="77"/>
      <c r="M293" s="69">
        <f t="shared" ref="M293:M298" si="20">L293*K293</f>
        <v>0</v>
      </c>
      <c r="N293" s="70"/>
    </row>
    <row r="294" spans="2:14" x14ac:dyDescent="0.3">
      <c r="B294" s="68" t="s">
        <v>495</v>
      </c>
      <c r="C294" s="56" t="s">
        <v>482</v>
      </c>
      <c r="J294" s="76"/>
      <c r="K294" s="77"/>
      <c r="L294" s="77"/>
      <c r="M294" s="69">
        <f t="shared" si="20"/>
        <v>0</v>
      </c>
      <c r="N294" s="70"/>
    </row>
    <row r="295" spans="2:14" x14ac:dyDescent="0.3">
      <c r="B295" s="68" t="s">
        <v>497</v>
      </c>
      <c r="C295" s="56" t="s">
        <v>481</v>
      </c>
      <c r="J295" s="76"/>
      <c r="K295" s="77"/>
      <c r="L295" s="77"/>
      <c r="M295" s="69">
        <f t="shared" si="20"/>
        <v>0</v>
      </c>
      <c r="N295" s="70"/>
    </row>
    <row r="296" spans="2:14" x14ac:dyDescent="0.3">
      <c r="B296" s="68" t="s">
        <v>499</v>
      </c>
      <c r="C296" s="56" t="s">
        <v>483</v>
      </c>
      <c r="J296" s="76"/>
      <c r="K296" s="77"/>
      <c r="L296" s="77"/>
      <c r="M296" s="69">
        <f t="shared" si="20"/>
        <v>0</v>
      </c>
      <c r="N296" s="70"/>
    </row>
    <row r="297" spans="2:14" x14ac:dyDescent="0.3">
      <c r="B297" s="68" t="s">
        <v>501</v>
      </c>
      <c r="C297" s="340"/>
      <c r="D297" s="340"/>
      <c r="E297" s="340"/>
      <c r="F297" s="340"/>
      <c r="G297" s="340"/>
      <c r="H297" s="340"/>
      <c r="I297" s="83"/>
      <c r="J297" s="76"/>
      <c r="K297" s="77"/>
      <c r="L297" s="77"/>
      <c r="M297" s="69">
        <f t="shared" si="20"/>
        <v>0</v>
      </c>
      <c r="N297" s="70"/>
    </row>
    <row r="298" spans="2:14" x14ac:dyDescent="0.3">
      <c r="B298" s="68" t="s">
        <v>503</v>
      </c>
      <c r="C298" s="340"/>
      <c r="D298" s="340"/>
      <c r="E298" s="340"/>
      <c r="F298" s="340"/>
      <c r="G298" s="340"/>
      <c r="H298" s="340"/>
      <c r="I298" s="83"/>
      <c r="J298" s="76"/>
      <c r="K298" s="77"/>
      <c r="L298" s="77"/>
      <c r="M298" s="69">
        <f t="shared" si="20"/>
        <v>0</v>
      </c>
      <c r="N298" s="70"/>
    </row>
    <row r="299" spans="2:14" x14ac:dyDescent="0.3">
      <c r="B299" s="68"/>
      <c r="N299" s="70"/>
    </row>
    <row r="300" spans="2:14" x14ac:dyDescent="0.3">
      <c r="B300" s="78" t="s">
        <v>155</v>
      </c>
      <c r="C300" s="57" t="s">
        <v>484</v>
      </c>
      <c r="N300" s="70"/>
    </row>
    <row r="301" spans="2:14" x14ac:dyDescent="0.3">
      <c r="B301" s="68" t="s">
        <v>505</v>
      </c>
      <c r="C301" s="56" t="s">
        <v>480</v>
      </c>
      <c r="J301" s="76"/>
      <c r="K301" s="77"/>
      <c r="L301" s="77"/>
      <c r="M301" s="69">
        <f>L301*K301</f>
        <v>0</v>
      </c>
      <c r="N301" s="70"/>
    </row>
    <row r="302" spans="2:14" x14ac:dyDescent="0.3">
      <c r="B302" s="68" t="s">
        <v>507</v>
      </c>
      <c r="C302" s="56" t="s">
        <v>481</v>
      </c>
      <c r="J302" s="76"/>
      <c r="K302" s="77"/>
      <c r="L302" s="77"/>
      <c r="M302" s="69">
        <f>L302*K302</f>
        <v>0</v>
      </c>
      <c r="N302" s="70"/>
    </row>
    <row r="303" spans="2:14" x14ac:dyDescent="0.3">
      <c r="B303" s="68" t="s">
        <v>509</v>
      </c>
      <c r="C303" s="56" t="s">
        <v>486</v>
      </c>
      <c r="J303" s="76"/>
      <c r="K303" s="77"/>
      <c r="L303" s="77"/>
      <c r="M303" s="69">
        <f>L303*K303</f>
        <v>0</v>
      </c>
      <c r="N303" s="70"/>
    </row>
    <row r="304" spans="2:14" x14ac:dyDescent="0.3">
      <c r="B304" s="68" t="s">
        <v>510</v>
      </c>
      <c r="C304" s="56" t="s">
        <v>487</v>
      </c>
      <c r="J304" s="76"/>
      <c r="K304" s="77"/>
      <c r="L304" s="77"/>
      <c r="M304" s="69">
        <f>L304*K304</f>
        <v>0</v>
      </c>
      <c r="N304" s="70"/>
    </row>
    <row r="305" spans="2:14" x14ac:dyDescent="0.3">
      <c r="B305" s="68" t="s">
        <v>613</v>
      </c>
      <c r="C305" s="340"/>
      <c r="D305" s="340"/>
      <c r="E305" s="340"/>
      <c r="F305" s="340"/>
      <c r="G305" s="340"/>
      <c r="H305" s="340"/>
      <c r="I305" s="83"/>
      <c r="J305" s="76"/>
      <c r="K305" s="77"/>
      <c r="L305" s="77"/>
      <c r="M305" s="69">
        <f>L305*K305</f>
        <v>0</v>
      </c>
      <c r="N305" s="70"/>
    </row>
    <row r="306" spans="2:14" x14ac:dyDescent="0.3">
      <c r="B306" s="68"/>
      <c r="N306" s="70"/>
    </row>
    <row r="307" spans="2:14" x14ac:dyDescent="0.3">
      <c r="B307" s="78" t="s">
        <v>157</v>
      </c>
      <c r="C307" s="57" t="s">
        <v>485</v>
      </c>
      <c r="N307" s="70"/>
    </row>
    <row r="308" spans="2:14" x14ac:dyDescent="0.3">
      <c r="B308" s="68" t="s">
        <v>611</v>
      </c>
      <c r="C308" s="56" t="s">
        <v>480</v>
      </c>
      <c r="J308" s="76"/>
      <c r="K308" s="77"/>
      <c r="L308" s="77"/>
      <c r="M308" s="69">
        <f t="shared" ref="M308:M314" si="21">L308*K308</f>
        <v>0</v>
      </c>
      <c r="N308" s="70"/>
    </row>
    <row r="309" spans="2:14" x14ac:dyDescent="0.3">
      <c r="B309" s="68" t="s">
        <v>517</v>
      </c>
      <c r="C309" s="56" t="s">
        <v>488</v>
      </c>
      <c r="J309" s="76"/>
      <c r="K309" s="77"/>
      <c r="L309" s="77"/>
      <c r="M309" s="69">
        <f t="shared" si="21"/>
        <v>0</v>
      </c>
      <c r="N309" s="70"/>
    </row>
    <row r="310" spans="2:14" x14ac:dyDescent="0.3">
      <c r="B310" s="68" t="s">
        <v>614</v>
      </c>
      <c r="C310" s="56" t="s">
        <v>489</v>
      </c>
      <c r="J310" s="76"/>
      <c r="K310" s="77"/>
      <c r="L310" s="77"/>
      <c r="M310" s="69">
        <f t="shared" si="21"/>
        <v>0</v>
      </c>
      <c r="N310" s="70"/>
    </row>
    <row r="311" spans="2:14" x14ac:dyDescent="0.3">
      <c r="B311" s="68" t="s">
        <v>615</v>
      </c>
      <c r="C311" s="56" t="s">
        <v>490</v>
      </c>
      <c r="J311" s="76"/>
      <c r="K311" s="77"/>
      <c r="L311" s="77"/>
      <c r="M311" s="69">
        <f t="shared" si="21"/>
        <v>0</v>
      </c>
      <c r="N311" s="70"/>
    </row>
    <row r="312" spans="2:14" x14ac:dyDescent="0.3">
      <c r="B312" s="68" t="s">
        <v>616</v>
      </c>
      <c r="C312" s="56" t="s">
        <v>491</v>
      </c>
      <c r="J312" s="76"/>
      <c r="K312" s="77"/>
      <c r="L312" s="77"/>
      <c r="M312" s="69">
        <f t="shared" si="21"/>
        <v>0</v>
      </c>
      <c r="N312" s="70"/>
    </row>
    <row r="313" spans="2:14" x14ac:dyDescent="0.3">
      <c r="B313" s="68" t="s">
        <v>617</v>
      </c>
      <c r="C313" s="56" t="s">
        <v>492</v>
      </c>
      <c r="J313" s="76"/>
      <c r="K313" s="77"/>
      <c r="L313" s="77"/>
      <c r="M313" s="69">
        <f t="shared" si="21"/>
        <v>0</v>
      </c>
      <c r="N313" s="70"/>
    </row>
    <row r="314" spans="2:14" x14ac:dyDescent="0.3">
      <c r="B314" s="68" t="s">
        <v>618</v>
      </c>
      <c r="C314" s="340"/>
      <c r="D314" s="340"/>
      <c r="E314" s="340"/>
      <c r="F314" s="340"/>
      <c r="G314" s="340"/>
      <c r="H314" s="340"/>
      <c r="I314" s="83"/>
      <c r="J314" s="76"/>
      <c r="K314" s="77"/>
      <c r="L314" s="77"/>
      <c r="M314" s="69">
        <f t="shared" si="21"/>
        <v>0</v>
      </c>
      <c r="N314" s="70"/>
    </row>
    <row r="315" spans="2:14" x14ac:dyDescent="0.3">
      <c r="B315" s="68"/>
      <c r="N315" s="70"/>
    </row>
    <row r="316" spans="2:14" x14ac:dyDescent="0.3">
      <c r="B316" s="78" t="s">
        <v>159</v>
      </c>
      <c r="C316" s="57" t="s">
        <v>619</v>
      </c>
      <c r="N316" s="70"/>
    </row>
    <row r="317" spans="2:14" x14ac:dyDescent="0.3">
      <c r="B317" s="68" t="s">
        <v>612</v>
      </c>
      <c r="C317" s="56" t="s">
        <v>494</v>
      </c>
      <c r="J317" s="76"/>
      <c r="K317" s="77"/>
      <c r="L317" s="77"/>
      <c r="M317" s="69">
        <f t="shared" ref="M317:M324" si="22">L317*K317</f>
        <v>0</v>
      </c>
      <c r="N317" s="70"/>
    </row>
    <row r="318" spans="2:14" x14ac:dyDescent="0.3">
      <c r="B318" s="68" t="s">
        <v>620</v>
      </c>
      <c r="C318" s="56" t="s">
        <v>496</v>
      </c>
      <c r="J318" s="76"/>
      <c r="K318" s="77"/>
      <c r="L318" s="77"/>
      <c r="M318" s="69">
        <f t="shared" si="22"/>
        <v>0</v>
      </c>
      <c r="N318" s="70"/>
    </row>
    <row r="319" spans="2:14" x14ac:dyDescent="0.3">
      <c r="B319" s="68" t="s">
        <v>621</v>
      </c>
      <c r="C319" s="56" t="s">
        <v>498</v>
      </c>
      <c r="J319" s="76"/>
      <c r="K319" s="77"/>
      <c r="L319" s="77"/>
      <c r="M319" s="69">
        <f t="shared" si="22"/>
        <v>0</v>
      </c>
      <c r="N319" s="70"/>
    </row>
    <row r="320" spans="2:14" x14ac:dyDescent="0.3">
      <c r="B320" s="68" t="s">
        <v>622</v>
      </c>
      <c r="C320" s="56" t="s">
        <v>500</v>
      </c>
      <c r="J320" s="76"/>
      <c r="K320" s="77"/>
      <c r="L320" s="77"/>
      <c r="M320" s="69">
        <f t="shared" si="22"/>
        <v>0</v>
      </c>
      <c r="N320" s="70"/>
    </row>
    <row r="321" spans="2:14" x14ac:dyDescent="0.3">
      <c r="B321" s="68" t="s">
        <v>623</v>
      </c>
      <c r="C321" s="56" t="s">
        <v>502</v>
      </c>
      <c r="J321" s="76"/>
      <c r="K321" s="77"/>
      <c r="L321" s="77"/>
      <c r="M321" s="69">
        <f t="shared" si="22"/>
        <v>0</v>
      </c>
      <c r="N321" s="70"/>
    </row>
    <row r="322" spans="2:14" x14ac:dyDescent="0.3">
      <c r="B322" s="68" t="s">
        <v>624</v>
      </c>
      <c r="C322" s="56" t="s">
        <v>504</v>
      </c>
      <c r="E322" s="55"/>
      <c r="J322" s="76"/>
      <c r="K322" s="77"/>
      <c r="L322" s="77"/>
      <c r="M322" s="69">
        <f t="shared" si="22"/>
        <v>0</v>
      </c>
      <c r="N322" s="70"/>
    </row>
    <row r="323" spans="2:14" x14ac:dyDescent="0.3">
      <c r="B323" s="68" t="s">
        <v>625</v>
      </c>
      <c r="C323" s="340"/>
      <c r="D323" s="340"/>
      <c r="E323" s="340"/>
      <c r="F323" s="340"/>
      <c r="G323" s="340"/>
      <c r="H323" s="340"/>
      <c r="I323" s="83"/>
      <c r="J323" s="76"/>
      <c r="K323" s="77"/>
      <c r="L323" s="77"/>
      <c r="M323" s="69">
        <f t="shared" si="22"/>
        <v>0</v>
      </c>
      <c r="N323" s="70"/>
    </row>
    <row r="324" spans="2:14" x14ac:dyDescent="0.3">
      <c r="B324" s="68" t="s">
        <v>626</v>
      </c>
      <c r="C324" s="340"/>
      <c r="D324" s="340"/>
      <c r="E324" s="340"/>
      <c r="F324" s="340"/>
      <c r="G324" s="340"/>
      <c r="H324" s="340"/>
      <c r="I324" s="83"/>
      <c r="J324" s="76"/>
      <c r="K324" s="77"/>
      <c r="L324" s="77"/>
      <c r="M324" s="69">
        <f t="shared" si="22"/>
        <v>0</v>
      </c>
      <c r="N324" s="70"/>
    </row>
    <row r="325" spans="2:14" x14ac:dyDescent="0.3">
      <c r="B325" s="68"/>
      <c r="N325" s="70"/>
    </row>
    <row r="326" spans="2:14" x14ac:dyDescent="0.3">
      <c r="B326" s="78" t="s">
        <v>161</v>
      </c>
      <c r="C326" s="57" t="s">
        <v>627</v>
      </c>
      <c r="N326" s="70"/>
    </row>
    <row r="327" spans="2:14" x14ac:dyDescent="0.3">
      <c r="B327" s="68" t="s">
        <v>628</v>
      </c>
      <c r="C327" s="56" t="s">
        <v>506</v>
      </c>
      <c r="J327" s="76"/>
      <c r="K327" s="77"/>
      <c r="L327" s="77"/>
      <c r="M327" s="69">
        <f>L327*K327</f>
        <v>0</v>
      </c>
      <c r="N327" s="70"/>
    </row>
    <row r="328" spans="2:14" x14ac:dyDescent="0.3">
      <c r="B328" s="68" t="s">
        <v>629</v>
      </c>
      <c r="C328" s="56" t="s">
        <v>508</v>
      </c>
      <c r="J328" s="76"/>
      <c r="K328" s="77"/>
      <c r="L328" s="77"/>
      <c r="M328" s="69">
        <f>L328*K328</f>
        <v>0</v>
      </c>
      <c r="N328" s="70"/>
    </row>
    <row r="329" spans="2:14" x14ac:dyDescent="0.3">
      <c r="B329" s="68" t="s">
        <v>630</v>
      </c>
      <c r="C329" s="56" t="s">
        <v>633</v>
      </c>
      <c r="J329" s="76"/>
      <c r="K329" s="77"/>
      <c r="L329" s="77"/>
      <c r="M329" s="69">
        <f>L329*K329</f>
        <v>0</v>
      </c>
      <c r="N329" s="70"/>
    </row>
    <row r="330" spans="2:14" x14ac:dyDescent="0.3">
      <c r="B330" s="68" t="s">
        <v>631</v>
      </c>
      <c r="C330" s="340"/>
      <c r="D330" s="340"/>
      <c r="E330" s="340"/>
      <c r="F330" s="340"/>
      <c r="G330" s="340"/>
      <c r="H330" s="340"/>
      <c r="I330" s="83"/>
      <c r="J330" s="76"/>
      <c r="K330" s="77"/>
      <c r="L330" s="77"/>
      <c r="M330" s="69">
        <f>L330*K330</f>
        <v>0</v>
      </c>
      <c r="N330" s="70"/>
    </row>
    <row r="331" spans="2:14" x14ac:dyDescent="0.3">
      <c r="B331" s="68" t="s">
        <v>632</v>
      </c>
      <c r="C331" s="340"/>
      <c r="D331" s="340"/>
      <c r="E331" s="340"/>
      <c r="F331" s="340"/>
      <c r="G331" s="340"/>
      <c r="H331" s="340"/>
      <c r="I331" s="83"/>
      <c r="J331" s="76"/>
      <c r="K331" s="77"/>
      <c r="L331" s="77"/>
      <c r="M331" s="69">
        <f>L331*K331</f>
        <v>0</v>
      </c>
      <c r="N331" s="70"/>
    </row>
    <row r="332" spans="2:14" x14ac:dyDescent="0.3">
      <c r="B332" s="68"/>
      <c r="N332" s="70"/>
    </row>
    <row r="333" spans="2:14" x14ac:dyDescent="0.3">
      <c r="B333" s="78" t="s">
        <v>163</v>
      </c>
      <c r="C333" s="57" t="s">
        <v>634</v>
      </c>
      <c r="N333" s="70"/>
    </row>
    <row r="334" spans="2:14" x14ac:dyDescent="0.3">
      <c r="B334" s="68" t="s">
        <v>635</v>
      </c>
      <c r="C334" s="56" t="s">
        <v>511</v>
      </c>
      <c r="J334" s="76"/>
      <c r="K334" s="77"/>
      <c r="L334" s="77"/>
      <c r="M334" s="69">
        <f t="shared" ref="M334:M346" si="23">L334*K334</f>
        <v>0</v>
      </c>
      <c r="N334" s="70"/>
    </row>
    <row r="335" spans="2:14" x14ac:dyDescent="0.3">
      <c r="B335" s="68" t="s">
        <v>636</v>
      </c>
      <c r="C335" s="56" t="s">
        <v>512</v>
      </c>
      <c r="J335" s="76"/>
      <c r="K335" s="77"/>
      <c r="L335" s="77"/>
      <c r="M335" s="69">
        <f t="shared" si="23"/>
        <v>0</v>
      </c>
      <c r="N335" s="70"/>
    </row>
    <row r="336" spans="2:14" x14ac:dyDescent="0.3">
      <c r="B336" s="68" t="s">
        <v>637</v>
      </c>
      <c r="C336" s="56" t="s">
        <v>513</v>
      </c>
      <c r="J336" s="76"/>
      <c r="K336" s="77"/>
      <c r="L336" s="77"/>
      <c r="M336" s="69">
        <f t="shared" si="23"/>
        <v>0</v>
      </c>
      <c r="N336" s="70"/>
    </row>
    <row r="337" spans="2:14" x14ac:dyDescent="0.3">
      <c r="B337" s="68" t="s">
        <v>638</v>
      </c>
      <c r="C337" s="56" t="s">
        <v>514</v>
      </c>
      <c r="J337" s="76"/>
      <c r="K337" s="77"/>
      <c r="L337" s="77"/>
      <c r="M337" s="69">
        <f t="shared" si="23"/>
        <v>0</v>
      </c>
      <c r="N337" s="70"/>
    </row>
    <row r="338" spans="2:14" x14ac:dyDescent="0.3">
      <c r="B338" s="68" t="s">
        <v>639</v>
      </c>
      <c r="C338" s="56" t="s">
        <v>515</v>
      </c>
      <c r="J338" s="76"/>
      <c r="K338" s="77"/>
      <c r="L338" s="77"/>
      <c r="M338" s="69">
        <f t="shared" si="23"/>
        <v>0</v>
      </c>
      <c r="N338" s="70"/>
    </row>
    <row r="339" spans="2:14" x14ac:dyDescent="0.3">
      <c r="B339" s="68" t="s">
        <v>640</v>
      </c>
      <c r="C339" s="56" t="s">
        <v>516</v>
      </c>
      <c r="J339" s="76"/>
      <c r="K339" s="77"/>
      <c r="L339" s="77"/>
      <c r="M339" s="69">
        <f t="shared" si="23"/>
        <v>0</v>
      </c>
      <c r="N339" s="70"/>
    </row>
    <row r="340" spans="2:14" x14ac:dyDescent="0.3">
      <c r="B340" s="68" t="s">
        <v>641</v>
      </c>
      <c r="C340" s="56" t="s">
        <v>518</v>
      </c>
      <c r="J340" s="76"/>
      <c r="K340" s="77"/>
      <c r="L340" s="77"/>
      <c r="M340" s="69">
        <f t="shared" si="23"/>
        <v>0</v>
      </c>
      <c r="N340" s="70"/>
    </row>
    <row r="341" spans="2:14" x14ac:dyDescent="0.3">
      <c r="B341" s="68" t="s">
        <v>642</v>
      </c>
      <c r="C341" s="56" t="s">
        <v>519</v>
      </c>
      <c r="J341" s="76"/>
      <c r="K341" s="77"/>
      <c r="L341" s="77"/>
      <c r="M341" s="69">
        <f t="shared" si="23"/>
        <v>0</v>
      </c>
      <c r="N341" s="70"/>
    </row>
    <row r="342" spans="2:14" x14ac:dyDescent="0.3">
      <c r="B342" s="68" t="s">
        <v>643</v>
      </c>
      <c r="C342" s="56" t="s">
        <v>520</v>
      </c>
      <c r="J342" s="76"/>
      <c r="K342" s="77"/>
      <c r="L342" s="77"/>
      <c r="M342" s="69">
        <f t="shared" si="23"/>
        <v>0</v>
      </c>
      <c r="N342" s="70"/>
    </row>
    <row r="343" spans="2:14" x14ac:dyDescent="0.3">
      <c r="B343" s="68" t="s">
        <v>644</v>
      </c>
      <c r="C343" s="56" t="s">
        <v>521</v>
      </c>
      <c r="J343" s="76"/>
      <c r="K343" s="77"/>
      <c r="L343" s="77"/>
      <c r="M343" s="69">
        <f t="shared" si="23"/>
        <v>0</v>
      </c>
      <c r="N343" s="70"/>
    </row>
    <row r="344" spans="2:14" x14ac:dyDescent="0.3">
      <c r="B344" s="68" t="s">
        <v>645</v>
      </c>
      <c r="C344" s="340"/>
      <c r="D344" s="340"/>
      <c r="E344" s="340"/>
      <c r="F344" s="340"/>
      <c r="G344" s="340"/>
      <c r="H344" s="340"/>
      <c r="I344" s="83"/>
      <c r="J344" s="76"/>
      <c r="K344" s="77"/>
      <c r="L344" s="77"/>
      <c r="M344" s="69">
        <f t="shared" si="23"/>
        <v>0</v>
      </c>
      <c r="N344" s="70"/>
    </row>
    <row r="345" spans="2:14" x14ac:dyDescent="0.3">
      <c r="B345" s="68" t="s">
        <v>646</v>
      </c>
      <c r="C345" s="340"/>
      <c r="D345" s="340"/>
      <c r="E345" s="340"/>
      <c r="F345" s="340"/>
      <c r="G345" s="340"/>
      <c r="H345" s="340"/>
      <c r="I345" s="83"/>
      <c r="J345" s="76"/>
      <c r="K345" s="77"/>
      <c r="L345" s="77"/>
      <c r="M345" s="69">
        <f t="shared" si="23"/>
        <v>0</v>
      </c>
      <c r="N345" s="70"/>
    </row>
    <row r="346" spans="2:14" x14ac:dyDescent="0.3">
      <c r="B346" s="68" t="s">
        <v>647</v>
      </c>
      <c r="C346" s="340"/>
      <c r="D346" s="340"/>
      <c r="E346" s="340"/>
      <c r="F346" s="340"/>
      <c r="G346" s="340"/>
      <c r="H346" s="340"/>
      <c r="I346" s="83"/>
      <c r="J346" s="76"/>
      <c r="K346" s="77"/>
      <c r="L346" s="77"/>
      <c r="M346" s="69">
        <f t="shared" si="23"/>
        <v>0</v>
      </c>
      <c r="N346" s="70"/>
    </row>
    <row r="347" spans="2:14" x14ac:dyDescent="0.3">
      <c r="B347" s="71"/>
      <c r="C347" s="72" t="s">
        <v>529</v>
      </c>
      <c r="D347" s="73"/>
      <c r="E347" s="73"/>
      <c r="F347" s="73"/>
      <c r="G347" s="73"/>
      <c r="H347" s="73"/>
      <c r="I347" s="73"/>
      <c r="J347" s="74"/>
      <c r="K347" s="74"/>
      <c r="L347" s="74"/>
      <c r="M347" s="75">
        <f>SUM(M263:M346)</f>
        <v>0</v>
      </c>
      <c r="N347" s="133">
        <f>IF($M$356=0,0,M347/$M$356)</f>
        <v>0</v>
      </c>
    </row>
    <row r="349" spans="2:14" x14ac:dyDescent="0.3">
      <c r="B349" s="62">
        <v>9</v>
      </c>
      <c r="C349" s="63" t="s">
        <v>165</v>
      </c>
      <c r="D349" s="64"/>
      <c r="E349" s="64"/>
      <c r="F349" s="64"/>
      <c r="G349" s="64"/>
      <c r="H349" s="64"/>
      <c r="I349" s="64"/>
      <c r="J349" s="65"/>
      <c r="K349" s="65"/>
      <c r="L349" s="65"/>
      <c r="M349" s="65"/>
      <c r="N349" s="67"/>
    </row>
    <row r="350" spans="2:14" x14ac:dyDescent="0.3">
      <c r="B350" s="68" t="s">
        <v>166</v>
      </c>
      <c r="C350" s="56" t="s">
        <v>522</v>
      </c>
      <c r="J350" s="76"/>
      <c r="K350" s="77"/>
      <c r="L350" s="77"/>
      <c r="M350" s="69">
        <f>L350*K350</f>
        <v>0</v>
      </c>
      <c r="N350" s="70"/>
    </row>
    <row r="351" spans="2:14" x14ac:dyDescent="0.3">
      <c r="B351" s="68" t="s">
        <v>168</v>
      </c>
      <c r="C351" s="56" t="s">
        <v>523</v>
      </c>
      <c r="J351" s="76"/>
      <c r="K351" s="77"/>
      <c r="L351" s="77"/>
      <c r="M351" s="69">
        <f>L351*K351</f>
        <v>0</v>
      </c>
      <c r="N351" s="70"/>
    </row>
    <row r="352" spans="2:14" x14ac:dyDescent="0.3">
      <c r="B352" s="68" t="s">
        <v>170</v>
      </c>
      <c r="C352" s="340"/>
      <c r="D352" s="340"/>
      <c r="E352" s="340"/>
      <c r="F352" s="340"/>
      <c r="G352" s="340"/>
      <c r="H352" s="340"/>
      <c r="I352" s="83"/>
      <c r="J352" s="76"/>
      <c r="K352" s="77"/>
      <c r="L352" s="77"/>
      <c r="M352" s="69">
        <f>L352*K352</f>
        <v>0</v>
      </c>
      <c r="N352" s="70"/>
    </row>
    <row r="353" spans="2:14" x14ac:dyDescent="0.3">
      <c r="B353" s="68" t="s">
        <v>648</v>
      </c>
      <c r="C353" s="340"/>
      <c r="D353" s="340"/>
      <c r="E353" s="340"/>
      <c r="F353" s="340"/>
      <c r="G353" s="340"/>
      <c r="H353" s="340"/>
      <c r="I353" s="83"/>
      <c r="J353" s="76"/>
      <c r="K353" s="77"/>
      <c r="L353" s="77"/>
      <c r="M353" s="69">
        <f>L353*K353</f>
        <v>0</v>
      </c>
      <c r="N353" s="70"/>
    </row>
    <row r="354" spans="2:14" x14ac:dyDescent="0.3">
      <c r="B354" s="71"/>
      <c r="C354" s="72" t="s">
        <v>529</v>
      </c>
      <c r="D354" s="73"/>
      <c r="E354" s="73"/>
      <c r="F354" s="73"/>
      <c r="G354" s="73"/>
      <c r="H354" s="73"/>
      <c r="I354" s="73"/>
      <c r="J354" s="74"/>
      <c r="K354" s="74"/>
      <c r="L354" s="74"/>
      <c r="M354" s="75">
        <f>SUM(M349:M353)</f>
        <v>0</v>
      </c>
      <c r="N354" s="133">
        <f>IF($M$356=0,0,M354/$M$356)</f>
        <v>0</v>
      </c>
    </row>
    <row r="356" spans="2:14" x14ac:dyDescent="0.3">
      <c r="B356" s="80"/>
      <c r="C356" s="63" t="s">
        <v>649</v>
      </c>
      <c r="D356" s="64"/>
      <c r="E356" s="64"/>
      <c r="F356" s="64"/>
      <c r="G356" s="64"/>
      <c r="H356" s="64"/>
      <c r="I356" s="64"/>
      <c r="J356" s="65"/>
      <c r="K356" s="65"/>
      <c r="L356" s="65"/>
      <c r="M356" s="81">
        <f>SUM(M18:M355)/2</f>
        <v>0</v>
      </c>
      <c r="N356" s="67"/>
    </row>
    <row r="357" spans="2:14" x14ac:dyDescent="0.3">
      <c r="B357" s="68"/>
      <c r="C357" s="56" t="s">
        <v>41</v>
      </c>
      <c r="M357" s="82"/>
      <c r="N357" s="70"/>
    </row>
    <row r="358" spans="2:14" x14ac:dyDescent="0.3">
      <c r="B358" s="71"/>
      <c r="C358" s="72" t="s">
        <v>650</v>
      </c>
      <c r="D358" s="73"/>
      <c r="E358" s="73"/>
      <c r="F358" s="73"/>
      <c r="G358" s="73"/>
      <c r="H358" s="73"/>
      <c r="I358" s="73"/>
      <c r="J358" s="74"/>
      <c r="K358" s="74"/>
      <c r="L358" s="74"/>
      <c r="M358" s="75">
        <f>M356*(1+M357)</f>
        <v>0</v>
      </c>
      <c r="N358" s="79"/>
    </row>
    <row r="360" spans="2:14" s="14" customFormat="1" x14ac:dyDescent="0.2">
      <c r="B360" s="55"/>
      <c r="C360" s="56"/>
      <c r="N360" s="15"/>
    </row>
    <row r="361" spans="2:14" s="14" customFormat="1" x14ac:dyDescent="0.2">
      <c r="J361" s="58" t="s">
        <v>174</v>
      </c>
      <c r="K361" s="59"/>
      <c r="L361" s="59"/>
      <c r="M361" s="59"/>
      <c r="N361" s="15"/>
    </row>
    <row r="362" spans="2:14" s="14" customFormat="1" ht="12" x14ac:dyDescent="0.25">
      <c r="J362" s="60" t="s">
        <v>57</v>
      </c>
      <c r="K362" s="260" t="str">
        <f>IF(FRE!$B$22="","",FRE!$B$22)</f>
        <v>{RESPONSÁVEL TÉCNICO}</v>
      </c>
      <c r="L362" s="260"/>
      <c r="M362" s="260"/>
      <c r="N362" s="15"/>
    </row>
    <row r="363" spans="2:14" s="14" customFormat="1" ht="12" x14ac:dyDescent="0.25">
      <c r="J363" s="60" t="s">
        <v>58</v>
      </c>
      <c r="K363" s="332" t="str">
        <f>IF(FRE!$M$22="","",FRE!$M$22)</f>
        <v>{DOC. RESPONSÁVEL}</v>
      </c>
      <c r="L363" s="332"/>
      <c r="M363" s="332"/>
      <c r="N363" s="15"/>
    </row>
    <row r="364" spans="2:14" s="14" customFormat="1" ht="12" x14ac:dyDescent="0.25">
      <c r="J364" s="60" t="s">
        <v>59</v>
      </c>
      <c r="K364" s="332" t="str">
        <f>IF(FRE!$J$22="","",FRE!$J$22)</f>
        <v>{CREA}</v>
      </c>
      <c r="L364" s="332"/>
      <c r="M364" s="332"/>
      <c r="N364" s="15"/>
    </row>
    <row r="365" spans="2:14" s="14" customFormat="1" x14ac:dyDescent="0.2">
      <c r="J365" s="15"/>
      <c r="K365" s="15"/>
      <c r="L365" s="15"/>
      <c r="M365" s="15"/>
      <c r="N365" s="15"/>
    </row>
    <row r="366" spans="2:14" s="14" customFormat="1" x14ac:dyDescent="0.2">
      <c r="J366" s="15"/>
      <c r="K366" s="15"/>
      <c r="L366" s="15"/>
      <c r="M366" s="15"/>
      <c r="N366" s="15"/>
    </row>
  </sheetData>
  <mergeCells count="54">
    <mergeCell ref="C305:H305"/>
    <mergeCell ref="C314:H314"/>
    <mergeCell ref="C323:H323"/>
    <mergeCell ref="C346:H346"/>
    <mergeCell ref="C352:H352"/>
    <mergeCell ref="C330:H330"/>
    <mergeCell ref="C331:H331"/>
    <mergeCell ref="C344:H344"/>
    <mergeCell ref="C345:H345"/>
    <mergeCell ref="C260:H260"/>
    <mergeCell ref="C280:H280"/>
    <mergeCell ref="C281:H281"/>
    <mergeCell ref="C289:H289"/>
    <mergeCell ref="C298:H298"/>
    <mergeCell ref="C353:H353"/>
    <mergeCell ref="K362:M362"/>
    <mergeCell ref="K363:M363"/>
    <mergeCell ref="K364:M364"/>
    <mergeCell ref="C123:H123"/>
    <mergeCell ref="C231:H231"/>
    <mergeCell ref="C139:H139"/>
    <mergeCell ref="C140:H140"/>
    <mergeCell ref="C151:H151"/>
    <mergeCell ref="C161:H161"/>
    <mergeCell ref="C219:H219"/>
    <mergeCell ref="C225:H225"/>
    <mergeCell ref="C290:H290"/>
    <mergeCell ref="C297:H297"/>
    <mergeCell ref="C324:H324"/>
    <mergeCell ref="C259:H259"/>
    <mergeCell ref="C57:H57"/>
    <mergeCell ref="C58:H58"/>
    <mergeCell ref="C202:H202"/>
    <mergeCell ref="C212:H212"/>
    <mergeCell ref="C77:H77"/>
    <mergeCell ref="C88:H88"/>
    <mergeCell ref="C98:H98"/>
    <mergeCell ref="C107:H107"/>
    <mergeCell ref="C69:H69"/>
    <mergeCell ref="C115:H115"/>
    <mergeCell ref="C134:H134"/>
    <mergeCell ref="C193:H193"/>
    <mergeCell ref="C169:H169"/>
    <mergeCell ref="C176:H176"/>
    <mergeCell ref="M2:N2"/>
    <mergeCell ref="M1:N1"/>
    <mergeCell ref="C50:H50"/>
    <mergeCell ref="C56:H56"/>
    <mergeCell ref="C49:H49"/>
    <mergeCell ref="C26:H26"/>
    <mergeCell ref="C27:H27"/>
    <mergeCell ref="C28:H28"/>
    <mergeCell ref="C40:H40"/>
    <mergeCell ref="C41:H41"/>
  </mergeCells>
  <phoneticPr fontId="25" type="noConversion"/>
  <printOptions horizontalCentered="1"/>
  <pageMargins left="0.51181102362204722" right="0.51181102362204722" top="0.78740157480314965" bottom="0.78740157480314965" header="0.31496062992125984" footer="0.31496062992125984"/>
  <pageSetup paperSize="9" scale="73" fitToHeight="0" orientation="portrait" horizontalDpi="4294967295" verticalDpi="4294967295" r:id="rId1"/>
  <headerFooter>
    <oddHeader>&amp;R&amp;"Arial,Normal"&amp;9V15_vigência 01.08.2022</oddHeader>
    <oddFooter>&amp;C&amp;8Página &amp;P de &amp;N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6DA5-BB67-42F1-82B9-80F433A0F148}">
  <sheetPr codeName="Plan7">
    <tabColor theme="9" tint="0.79998168889431442"/>
    <pageSetUpPr fitToPage="1"/>
  </sheetPr>
  <dimension ref="A1:P87"/>
  <sheetViews>
    <sheetView showGridLines="0" view="pageBreakPreview" topLeftCell="A43" zoomScale="130" zoomScaleNormal="130" zoomScaleSheetLayoutView="130" workbookViewId="0">
      <selection activeCell="K59" sqref="K59"/>
    </sheetView>
  </sheetViews>
  <sheetFormatPr defaultColWidth="9.109375" defaultRowHeight="12" x14ac:dyDescent="0.3"/>
  <cols>
    <col min="1" max="1" width="1.109375" style="19" customWidth="1"/>
    <col min="2" max="10" width="9.109375" style="19"/>
    <col min="11" max="11" width="18.109375" style="19" customWidth="1"/>
    <col min="12" max="12" width="9.109375" style="19"/>
    <col min="13" max="14" width="7.6640625" style="19" customWidth="1"/>
    <col min="15" max="16384" width="9.109375" style="19"/>
  </cols>
  <sheetData>
    <row r="1" spans="1:15" x14ac:dyDescent="0.2">
      <c r="A1" s="53" t="s">
        <v>60</v>
      </c>
      <c r="B1" s="20"/>
      <c r="J1" s="20"/>
      <c r="K1" s="20"/>
      <c r="L1" s="20"/>
      <c r="M1" s="20"/>
      <c r="N1" s="242" t="s">
        <v>857</v>
      </c>
      <c r="O1" s="243"/>
    </row>
    <row r="2" spans="1:15" ht="15.6" x14ac:dyDescent="0.3">
      <c r="A2" s="53" t="s">
        <v>686</v>
      </c>
      <c r="B2" s="20"/>
      <c r="E2" s="186" t="s">
        <v>677</v>
      </c>
      <c r="J2" s="20"/>
      <c r="K2" s="20"/>
      <c r="L2" s="20"/>
      <c r="M2" s="20"/>
      <c r="N2" s="244" t="s">
        <v>858</v>
      </c>
      <c r="O2" s="245"/>
    </row>
    <row r="3" spans="1:15" ht="8.1" customHeight="1" x14ac:dyDescent="0.3">
      <c r="A3" s="53" t="s">
        <v>687</v>
      </c>
      <c r="B3" s="20"/>
      <c r="J3" s="20"/>
      <c r="K3" s="20"/>
      <c r="L3" s="20"/>
      <c r="M3" s="20"/>
      <c r="N3" s="20"/>
      <c r="O3" s="20"/>
    </row>
    <row r="4" spans="1:15" x14ac:dyDescent="0.25">
      <c r="A4" s="53" t="s">
        <v>80</v>
      </c>
      <c r="B4" s="20"/>
      <c r="E4" s="147" t="str">
        <f>FRE!$D$4</f>
        <v>Programa:</v>
      </c>
      <c r="F4" s="185" t="str">
        <f>FRE!$E$4</f>
        <v>Apoio à Produção de Imóveis - Pessoa Jurídica</v>
      </c>
      <c r="J4" s="20"/>
      <c r="K4" s="20"/>
      <c r="L4" s="20"/>
      <c r="M4" s="20"/>
      <c r="N4" s="20"/>
      <c r="O4" s="20"/>
    </row>
    <row r="5" spans="1:15" x14ac:dyDescent="0.3">
      <c r="A5" s="53" t="s">
        <v>81</v>
      </c>
      <c r="B5" s="20"/>
      <c r="J5" s="20"/>
      <c r="K5" s="20"/>
      <c r="L5" s="20"/>
      <c r="M5" s="20"/>
      <c r="N5" s="20"/>
      <c r="O5" s="20"/>
    </row>
    <row r="6" spans="1:15" x14ac:dyDescent="0.3">
      <c r="B6" s="20"/>
      <c r="J6" s="20"/>
      <c r="K6" s="20"/>
      <c r="L6" s="20"/>
      <c r="M6" s="20"/>
      <c r="N6" s="20"/>
      <c r="O6" s="20"/>
    </row>
    <row r="7" spans="1:15" x14ac:dyDescent="0.3">
      <c r="B7" s="20"/>
      <c r="J7" s="20"/>
      <c r="K7" s="20"/>
      <c r="L7" s="20"/>
      <c r="M7" s="20"/>
      <c r="N7" s="20"/>
      <c r="O7" s="20"/>
    </row>
    <row r="8" spans="1:15" x14ac:dyDescent="0.3">
      <c r="B8" s="20"/>
      <c r="J8" s="20"/>
      <c r="K8" s="20"/>
      <c r="L8" s="20"/>
      <c r="M8" s="20"/>
      <c r="N8" s="20"/>
      <c r="O8" s="20"/>
    </row>
    <row r="9" spans="1:15" x14ac:dyDescent="0.3">
      <c r="B9" s="20"/>
      <c r="J9" s="20"/>
      <c r="K9" s="20"/>
      <c r="L9" s="20"/>
      <c r="M9" s="20"/>
      <c r="N9" s="20"/>
      <c r="O9" s="20"/>
    </row>
    <row r="10" spans="1:15" x14ac:dyDescent="0.3">
      <c r="B10" s="20"/>
      <c r="J10" s="20"/>
      <c r="K10" s="20"/>
      <c r="L10" s="20"/>
      <c r="M10" s="20"/>
      <c r="N10" s="20"/>
      <c r="O10" s="20"/>
    </row>
    <row r="11" spans="1:15" x14ac:dyDescent="0.3">
      <c r="B11" s="20"/>
      <c r="J11" s="20"/>
      <c r="K11" s="20"/>
      <c r="L11" s="20"/>
      <c r="M11" s="20"/>
      <c r="N11" s="20"/>
      <c r="O11" s="20"/>
    </row>
    <row r="12" spans="1:15" x14ac:dyDescent="0.3">
      <c r="B12" s="20"/>
      <c r="J12" s="20"/>
      <c r="K12" s="20"/>
      <c r="L12" s="20"/>
      <c r="M12" s="20"/>
      <c r="N12" s="20"/>
      <c r="O12" s="20"/>
    </row>
    <row r="13" spans="1:15" x14ac:dyDescent="0.3">
      <c r="B13" s="20"/>
      <c r="J13" s="20"/>
      <c r="K13" s="20"/>
      <c r="L13" s="20"/>
      <c r="M13" s="20"/>
      <c r="N13" s="20"/>
      <c r="O13" s="20"/>
    </row>
    <row r="14" spans="1:15" x14ac:dyDescent="0.3">
      <c r="B14" s="20"/>
      <c r="J14" s="20"/>
      <c r="K14" s="20"/>
      <c r="L14" s="20"/>
      <c r="M14" s="20"/>
      <c r="N14" s="20"/>
      <c r="O14" s="20"/>
    </row>
    <row r="15" spans="1:15" x14ac:dyDescent="0.3">
      <c r="B15" s="20"/>
      <c r="J15" s="20"/>
      <c r="K15" s="20"/>
      <c r="L15" s="20"/>
      <c r="M15" s="20"/>
      <c r="N15" s="20"/>
      <c r="O15" s="20"/>
    </row>
    <row r="16" spans="1:15" x14ac:dyDescent="0.3">
      <c r="B16" s="20"/>
      <c r="J16" s="20"/>
      <c r="K16" s="20"/>
      <c r="L16" s="20"/>
      <c r="M16" s="20"/>
      <c r="N16" s="20"/>
      <c r="O16" s="20"/>
    </row>
    <row r="17" spans="2:16" ht="18" customHeight="1" x14ac:dyDescent="0.3">
      <c r="B17" s="103"/>
      <c r="C17" s="104" t="s">
        <v>674</v>
      </c>
      <c r="D17" s="315" t="s">
        <v>686</v>
      </c>
      <c r="E17" s="315"/>
      <c r="F17" s="105"/>
      <c r="G17" s="105"/>
      <c r="H17" s="104" t="s">
        <v>675</v>
      </c>
      <c r="I17" s="106"/>
      <c r="J17" s="105"/>
      <c r="K17" s="105"/>
      <c r="L17" s="105"/>
      <c r="M17" s="105"/>
      <c r="N17" s="104" t="s">
        <v>676</v>
      </c>
      <c r="O17" s="106"/>
      <c r="P17" s="107"/>
    </row>
    <row r="19" spans="2:16" ht="15" customHeight="1" x14ac:dyDescent="0.3">
      <c r="B19" s="345" t="s">
        <v>685</v>
      </c>
      <c r="C19" s="346"/>
      <c r="D19" s="108" t="str">
        <f>FRE!B186</f>
        <v>Edificações</v>
      </c>
      <c r="E19" s="94"/>
      <c r="F19" s="94"/>
      <c r="G19" s="94"/>
      <c r="H19" s="94"/>
      <c r="I19" s="94"/>
      <c r="J19" s="351">
        <f>FRE!M187</f>
        <v>0</v>
      </c>
      <c r="K19" s="351"/>
      <c r="L19" s="200">
        <f>IF(SUM($J$19:$K$21)=0,0,J19/SUM($J$19:$K$21))</f>
        <v>0</v>
      </c>
      <c r="M19" s="200"/>
      <c r="N19" s="94"/>
      <c r="O19" s="94"/>
      <c r="P19" s="95"/>
    </row>
    <row r="20" spans="2:16" ht="15" customHeight="1" x14ac:dyDescent="0.3">
      <c r="B20" s="347"/>
      <c r="C20" s="348"/>
      <c r="D20" s="109" t="str">
        <f>FRE!B189</f>
        <v>Infraestrutura e urbanização</v>
      </c>
      <c r="J20" s="343">
        <f>IF(FRE!$N$189="não",0,FRE!M190)</f>
        <v>0</v>
      </c>
      <c r="K20" s="343"/>
      <c r="L20" s="96">
        <f>IF(SUM($J$19:$K$21)=0,0,J20/SUM($J$19:$K$21))</f>
        <v>0</v>
      </c>
      <c r="M20" s="96"/>
      <c r="P20" s="97"/>
    </row>
    <row r="21" spans="2:16" ht="15" customHeight="1" x14ac:dyDescent="0.3">
      <c r="B21" s="347"/>
      <c r="C21" s="348"/>
      <c r="D21" s="109" t="str">
        <f>FRE!B192</f>
        <v>Equipamentos comunitários</v>
      </c>
      <c r="J21" s="343">
        <f>IF(FRE!$E$4=FRE!$A$7,FRE!M193,)</f>
        <v>0</v>
      </c>
      <c r="K21" s="343"/>
      <c r="L21" s="96">
        <f>IF(SUM($J$19:$K$21)=0,0,J21/SUM($J$19:$K$21))</f>
        <v>0</v>
      </c>
      <c r="M21" s="96"/>
      <c r="P21" s="97"/>
    </row>
    <row r="22" spans="2:16" ht="15" customHeight="1" x14ac:dyDescent="0.3">
      <c r="B22" s="347"/>
      <c r="C22" s="348"/>
      <c r="D22" s="110"/>
      <c r="H22" s="98"/>
      <c r="I22" s="98"/>
      <c r="J22" s="96"/>
      <c r="P22" s="97"/>
    </row>
    <row r="23" spans="2:16" ht="15" customHeight="1" x14ac:dyDescent="0.3">
      <c r="B23" s="347"/>
      <c r="C23" s="348"/>
      <c r="D23" s="111" t="s">
        <v>682</v>
      </c>
      <c r="J23" s="343">
        <f>SUM(J24:K26)</f>
        <v>0</v>
      </c>
      <c r="K23" s="343"/>
      <c r="L23" s="96">
        <f>IF($J$23=0,0,J23/$J$23)</f>
        <v>0</v>
      </c>
      <c r="M23" s="96"/>
      <c r="P23" s="97"/>
    </row>
    <row r="24" spans="2:16" ht="15" customHeight="1" x14ac:dyDescent="0.3">
      <c r="B24" s="347"/>
      <c r="C24" s="348"/>
      <c r="D24" s="109" t="str">
        <f>IF(FRE!B209="","",FRE!B209)</f>
        <v/>
      </c>
      <c r="J24" s="343">
        <f>FRE!G209</f>
        <v>0</v>
      </c>
      <c r="K24" s="343"/>
      <c r="L24" s="96">
        <f>IF($J$23=0,0,J24/$J$23)</f>
        <v>0</v>
      </c>
      <c r="M24" s="96"/>
      <c r="P24" s="97"/>
    </row>
    <row r="25" spans="2:16" ht="15" customHeight="1" x14ac:dyDescent="0.3">
      <c r="B25" s="347"/>
      <c r="C25" s="348"/>
      <c r="D25" s="109" t="str">
        <f>IF(FRE!B210="","",FRE!B210)</f>
        <v/>
      </c>
      <c r="J25" s="343">
        <f>FRE!G210</f>
        <v>0</v>
      </c>
      <c r="K25" s="343"/>
      <c r="L25" s="96">
        <f>IF($J$23=0,0,J25/$J$23)</f>
        <v>0</v>
      </c>
      <c r="M25" s="96"/>
      <c r="P25" s="97"/>
    </row>
    <row r="26" spans="2:16" ht="15" customHeight="1" x14ac:dyDescent="0.3">
      <c r="B26" s="349"/>
      <c r="C26" s="350"/>
      <c r="D26" s="112" t="str">
        <f>IF(FRE!B211="","",FRE!B211)</f>
        <v/>
      </c>
      <c r="E26" s="99"/>
      <c r="F26" s="99"/>
      <c r="G26" s="99"/>
      <c r="H26" s="99"/>
      <c r="I26" s="99"/>
      <c r="J26" s="344">
        <f>FRE!G211</f>
        <v>0</v>
      </c>
      <c r="K26" s="344"/>
      <c r="L26" s="201">
        <f>IF($J$23=0,0,J26/$J$23)</f>
        <v>0</v>
      </c>
      <c r="M26" s="201"/>
      <c r="N26" s="99"/>
      <c r="O26" s="99"/>
      <c r="P26" s="100"/>
    </row>
    <row r="27" spans="2:16" s="124" customFormat="1" x14ac:dyDescent="0.3">
      <c r="B27" s="53" t="str">
        <f>FRE!N189</f>
        <v>não</v>
      </c>
      <c r="C27" s="53" t="str">
        <f>FRE!E4</f>
        <v>Apoio à Produção de Imóveis - Pessoa Jurídica</v>
      </c>
      <c r="D27" s="53" t="str">
        <f>FRE!A6</f>
        <v>Produção de Lotes Urbanizados - PRODULOTE - PJ</v>
      </c>
      <c r="E27" s="53" t="str">
        <f>FRE!A7</f>
        <v>PCVA - Recursos FAR</v>
      </c>
      <c r="F27" s="53"/>
      <c r="G27" s="53"/>
      <c r="H27" s="53"/>
    </row>
    <row r="28" spans="2:16" ht="24" customHeight="1" x14ac:dyDescent="0.3">
      <c r="B28" s="342" t="s">
        <v>678</v>
      </c>
      <c r="C28" s="342" t="str">
        <f>D19</f>
        <v>Edificações</v>
      </c>
      <c r="D28" s="342"/>
      <c r="E28" s="342" t="str">
        <f>D20</f>
        <v>Infraestrutura e urbanização</v>
      </c>
      <c r="F28" s="342"/>
      <c r="G28" s="342" t="str">
        <f>D21</f>
        <v>Equipamentos comunitários</v>
      </c>
      <c r="H28" s="342"/>
      <c r="I28" s="342" t="s">
        <v>684</v>
      </c>
      <c r="J28" s="342"/>
      <c r="K28" s="342" t="s">
        <v>702</v>
      </c>
      <c r="L28" s="342"/>
      <c r="M28" s="342" t="s">
        <v>680</v>
      </c>
      <c r="N28" s="342"/>
      <c r="O28" s="342" t="s">
        <v>681</v>
      </c>
      <c r="P28" s="342"/>
    </row>
    <row r="29" spans="2:16" ht="20.399999999999999" x14ac:dyDescent="0.3">
      <c r="B29" s="342"/>
      <c r="C29" s="86" t="s">
        <v>679</v>
      </c>
      <c r="D29" s="86" t="s">
        <v>200</v>
      </c>
      <c r="E29" s="86" t="s">
        <v>679</v>
      </c>
      <c r="F29" s="86" t="s">
        <v>200</v>
      </c>
      <c r="G29" s="86" t="s">
        <v>679</v>
      </c>
      <c r="H29" s="86" t="s">
        <v>200</v>
      </c>
      <c r="I29" s="86" t="s">
        <v>679</v>
      </c>
      <c r="J29" s="86" t="s">
        <v>200</v>
      </c>
      <c r="K29" s="86" t="s">
        <v>703</v>
      </c>
      <c r="L29" s="86" t="s">
        <v>200</v>
      </c>
      <c r="M29" s="86" t="s">
        <v>679</v>
      </c>
      <c r="N29" s="86" t="s">
        <v>200</v>
      </c>
      <c r="O29" s="86" t="s">
        <v>679</v>
      </c>
      <c r="P29" s="86" t="s">
        <v>200</v>
      </c>
    </row>
    <row r="30" spans="2:16" x14ac:dyDescent="0.3">
      <c r="B30" s="89" t="s">
        <v>683</v>
      </c>
      <c r="C30" s="202">
        <v>0</v>
      </c>
      <c r="D30" s="88">
        <f>SUM(C$30:C30)</f>
        <v>0</v>
      </c>
      <c r="E30" s="87"/>
      <c r="F30" s="88">
        <f>SUM(E$30:E30)</f>
        <v>0</v>
      </c>
      <c r="G30" s="87"/>
      <c r="H30" s="88">
        <f>SUM(G$30:G30)</f>
        <v>0</v>
      </c>
      <c r="I30" s="101">
        <f>IF(SUM($J$19:$K$21)=0,0,(C30*$J$19+E30*$J$20+G30*$J$21)/SUM($J$19:$K$21))</f>
        <v>0</v>
      </c>
      <c r="J30" s="88">
        <f>SUM(I$30:I30)</f>
        <v>0</v>
      </c>
      <c r="K30" s="119"/>
      <c r="L30" s="88">
        <f>IF(COUNTA($K$30:$K$78)=0,0,COUNTA($K$30:K30)/COUNTA($K$30:$K$78))</f>
        <v>0</v>
      </c>
      <c r="M30" s="88">
        <f t="shared" ref="M30:M60" si="0">IF(L30&gt;=100%,5%,IF(N29&gt;=95%,0,IF(J30&lt;=95%,I30,(I30-(J30-95%)))))</f>
        <v>0</v>
      </c>
      <c r="N30" s="88">
        <f>IF(L30&gt;=100%,J30,IF(J30&gt;95%,95%,J30))</f>
        <v>0</v>
      </c>
      <c r="O30" s="87"/>
      <c r="P30" s="88">
        <f>SUM(O$30:O30)</f>
        <v>0</v>
      </c>
    </row>
    <row r="31" spans="2:16" x14ac:dyDescent="0.3">
      <c r="B31" s="90">
        <v>1</v>
      </c>
      <c r="C31" s="202">
        <v>3.27E-2</v>
      </c>
      <c r="D31" s="88">
        <f>SUM(C$30:C31)</f>
        <v>3.27E-2</v>
      </c>
      <c r="E31" s="87"/>
      <c r="F31" s="88">
        <f>SUM(E$30:E31)</f>
        <v>0</v>
      </c>
      <c r="G31" s="87"/>
      <c r="H31" s="88">
        <f>SUM(G$30:G31)</f>
        <v>0</v>
      </c>
      <c r="I31" s="101">
        <f>IF(SUM($J$19:$K$21)=0,0,(C31*$J$19+E31*$J$20+G31*$J$21)/SUM($J$19:$K$21))</f>
        <v>0</v>
      </c>
      <c r="J31" s="88">
        <f>SUM(I$30:I31)</f>
        <v>0</v>
      </c>
      <c r="K31" s="119"/>
      <c r="L31" s="88">
        <f>IF(COUNTA($K$30:$K$78)=0,0,COUNTA($K$30:K31)/COUNTA($K$30:$K$78))</f>
        <v>0</v>
      </c>
      <c r="M31" s="88">
        <f t="shared" si="0"/>
        <v>0</v>
      </c>
      <c r="N31" s="88">
        <f t="shared" ref="N31:N78" si="1">IF(L31&gt;=100%,J31,IF(J31&gt;95%,95%,J31))</f>
        <v>0</v>
      </c>
      <c r="O31" s="87"/>
      <c r="P31" s="88">
        <f>SUM(O$30:O31)</f>
        <v>0</v>
      </c>
    </row>
    <row r="32" spans="2:16" x14ac:dyDescent="0.3">
      <c r="B32" s="90">
        <v>2</v>
      </c>
      <c r="C32" s="202">
        <v>3.27E-2</v>
      </c>
      <c r="D32" s="88">
        <f>SUM(C$30:C32)</f>
        <v>6.54E-2</v>
      </c>
      <c r="E32" s="87"/>
      <c r="F32" s="88">
        <f>SUM(E$30:E32)</f>
        <v>0</v>
      </c>
      <c r="G32" s="87"/>
      <c r="H32" s="88">
        <f>SUM(G$30:G32)</f>
        <v>0</v>
      </c>
      <c r="I32" s="101">
        <f>IF(SUM($J$19:$K$21)=0,0,(C32*$J$19+E32*$J$20+G32*$J$21)/SUM($J$19:$K$21))</f>
        <v>0</v>
      </c>
      <c r="J32" s="88">
        <f>SUM(I$30:I32)</f>
        <v>0</v>
      </c>
      <c r="K32" s="119"/>
      <c r="L32" s="88">
        <f>IF(COUNTA($K$30:$K$78)=0,0,COUNTA($K$30:K32)/COUNTA($K$30:$K$78))</f>
        <v>0</v>
      </c>
      <c r="M32" s="88">
        <f t="shared" si="0"/>
        <v>0</v>
      </c>
      <c r="N32" s="88">
        <f t="shared" si="1"/>
        <v>0</v>
      </c>
      <c r="O32" s="87"/>
      <c r="P32" s="88">
        <f>SUM(O$30:O32)</f>
        <v>0</v>
      </c>
    </row>
    <row r="33" spans="2:16" x14ac:dyDescent="0.3">
      <c r="B33" s="90">
        <v>3</v>
      </c>
      <c r="C33" s="202">
        <v>3.27E-2</v>
      </c>
      <c r="D33" s="88">
        <f>SUM(C$30:C33)</f>
        <v>9.8099999999999993E-2</v>
      </c>
      <c r="E33" s="87"/>
      <c r="F33" s="88">
        <f>SUM(E$30:E33)</f>
        <v>0</v>
      </c>
      <c r="G33" s="87"/>
      <c r="H33" s="88">
        <f>SUM(G$30:G33)</f>
        <v>0</v>
      </c>
      <c r="I33" s="101">
        <f t="shared" ref="I33:I78" si="2">IF(SUM($J$19:$K$21)=0,0,(C33*$J$19+E33*$J$20+G33*$J$21)/SUM($J$19:$K$21))</f>
        <v>0</v>
      </c>
      <c r="J33" s="88">
        <f>SUM(I$30:I33)</f>
        <v>0</v>
      </c>
      <c r="K33" s="119"/>
      <c r="L33" s="88">
        <f>IF(COUNTA($K$30:$K$78)=0,0,COUNTA($K$30:K33)/COUNTA($K$30:$K$78))</f>
        <v>0</v>
      </c>
      <c r="M33" s="88">
        <f t="shared" si="0"/>
        <v>0</v>
      </c>
      <c r="N33" s="88">
        <f t="shared" si="1"/>
        <v>0</v>
      </c>
      <c r="O33" s="87"/>
      <c r="P33" s="88">
        <f>SUM(O$30:O33)</f>
        <v>0</v>
      </c>
    </row>
    <row r="34" spans="2:16" x14ac:dyDescent="0.3">
      <c r="B34" s="90">
        <v>4</v>
      </c>
      <c r="C34" s="202">
        <v>3.27E-2</v>
      </c>
      <c r="D34" s="88">
        <f>SUM(C$30:C34)</f>
        <v>0.1308</v>
      </c>
      <c r="E34" s="87"/>
      <c r="F34" s="88">
        <f>SUM(E$30:E34)</f>
        <v>0</v>
      </c>
      <c r="G34" s="87"/>
      <c r="H34" s="88">
        <f>SUM(G$30:G34)</f>
        <v>0</v>
      </c>
      <c r="I34" s="101">
        <f t="shared" si="2"/>
        <v>0</v>
      </c>
      <c r="J34" s="88">
        <f>SUM(I$30:I34)</f>
        <v>0</v>
      </c>
      <c r="K34" s="119"/>
      <c r="L34" s="88">
        <f>IF(COUNTA($K$30:$K$78)=0,0,COUNTA($K$30:K34)/COUNTA($K$30:$K$78))</f>
        <v>0</v>
      </c>
      <c r="M34" s="88">
        <f t="shared" si="0"/>
        <v>0</v>
      </c>
      <c r="N34" s="88">
        <f t="shared" si="1"/>
        <v>0</v>
      </c>
      <c r="O34" s="87"/>
      <c r="P34" s="88">
        <f>SUM(O$30:O34)</f>
        <v>0</v>
      </c>
    </row>
    <row r="35" spans="2:16" x14ac:dyDescent="0.3">
      <c r="B35" s="90">
        <v>5</v>
      </c>
      <c r="C35" s="202">
        <v>3.27E-2</v>
      </c>
      <c r="D35" s="88">
        <f>SUM(C$30:C35)</f>
        <v>0.16350000000000001</v>
      </c>
      <c r="E35" s="87"/>
      <c r="F35" s="88">
        <f>SUM(E$30:E35)</f>
        <v>0</v>
      </c>
      <c r="G35" s="87"/>
      <c r="H35" s="88">
        <f>SUM(G$30:G35)</f>
        <v>0</v>
      </c>
      <c r="I35" s="101">
        <f t="shared" si="2"/>
        <v>0</v>
      </c>
      <c r="J35" s="88">
        <f>SUM(I$30:I35)</f>
        <v>0</v>
      </c>
      <c r="K35" s="119"/>
      <c r="L35" s="88">
        <f>IF(COUNTA($K$30:$K$78)=0,0,COUNTA($K$30:K35)/COUNTA($K$30:$K$78))</f>
        <v>0</v>
      </c>
      <c r="M35" s="88">
        <f t="shared" si="0"/>
        <v>0</v>
      </c>
      <c r="N35" s="88">
        <f t="shared" si="1"/>
        <v>0</v>
      </c>
      <c r="O35" s="87"/>
      <c r="P35" s="88">
        <f>SUM(O$30:O35)</f>
        <v>0</v>
      </c>
    </row>
    <row r="36" spans="2:16" x14ac:dyDescent="0.3">
      <c r="B36" s="90">
        <v>6</v>
      </c>
      <c r="C36" s="202">
        <v>3.27E-2</v>
      </c>
      <c r="D36" s="88">
        <f>SUM(C$30:C36)</f>
        <v>0.19620000000000001</v>
      </c>
      <c r="E36" s="87"/>
      <c r="F36" s="88">
        <f>SUM(E$30:E36)</f>
        <v>0</v>
      </c>
      <c r="G36" s="87"/>
      <c r="H36" s="88">
        <f>SUM(G$30:G36)</f>
        <v>0</v>
      </c>
      <c r="I36" s="101">
        <f t="shared" si="2"/>
        <v>0</v>
      </c>
      <c r="J36" s="88">
        <f>SUM(I$30:I36)</f>
        <v>0</v>
      </c>
      <c r="K36" s="119"/>
      <c r="L36" s="88">
        <f>IF(COUNTA($K$30:$K$78)=0,0,COUNTA($K$30:K36)/COUNTA($K$30:$K$78))</f>
        <v>0</v>
      </c>
      <c r="M36" s="88">
        <f t="shared" si="0"/>
        <v>0</v>
      </c>
      <c r="N36" s="88">
        <f t="shared" si="1"/>
        <v>0</v>
      </c>
      <c r="O36" s="87"/>
      <c r="P36" s="88">
        <f>SUM(O$30:O36)</f>
        <v>0</v>
      </c>
    </row>
    <row r="37" spans="2:16" x14ac:dyDescent="0.3">
      <c r="B37" s="90">
        <v>7</v>
      </c>
      <c r="C37" s="202">
        <v>3.27E-2</v>
      </c>
      <c r="D37" s="88">
        <f>SUM(C$30:C37)</f>
        <v>0.22890000000000002</v>
      </c>
      <c r="E37" s="87"/>
      <c r="F37" s="88">
        <f>SUM(E$30:E37)</f>
        <v>0</v>
      </c>
      <c r="G37" s="87"/>
      <c r="H37" s="88">
        <f>SUM(G$30:G37)</f>
        <v>0</v>
      </c>
      <c r="I37" s="101">
        <f t="shared" si="2"/>
        <v>0</v>
      </c>
      <c r="J37" s="88">
        <f>SUM(I$30:I37)</f>
        <v>0</v>
      </c>
      <c r="K37" s="119"/>
      <c r="L37" s="88">
        <f>IF(COUNTA($K$30:$K$78)=0,0,COUNTA($K$30:K37)/COUNTA($K$30:$K$78))</f>
        <v>0</v>
      </c>
      <c r="M37" s="88">
        <f t="shared" si="0"/>
        <v>0</v>
      </c>
      <c r="N37" s="88">
        <f t="shared" si="1"/>
        <v>0</v>
      </c>
      <c r="O37" s="87"/>
      <c r="P37" s="88">
        <f>SUM(O$30:O37)</f>
        <v>0</v>
      </c>
    </row>
    <row r="38" spans="2:16" x14ac:dyDescent="0.3">
      <c r="B38" s="90">
        <v>8</v>
      </c>
      <c r="C38" s="202">
        <v>3.27E-2</v>
      </c>
      <c r="D38" s="88">
        <f>SUM(C$30:C38)</f>
        <v>0.2616</v>
      </c>
      <c r="E38" s="87"/>
      <c r="F38" s="88">
        <f>SUM(E$30:E38)</f>
        <v>0</v>
      </c>
      <c r="G38" s="87"/>
      <c r="H38" s="88">
        <f>SUM(G$30:G38)</f>
        <v>0</v>
      </c>
      <c r="I38" s="101">
        <f t="shared" si="2"/>
        <v>0</v>
      </c>
      <c r="J38" s="88">
        <f>SUM(I$30:I38)</f>
        <v>0</v>
      </c>
      <c r="K38" s="119"/>
      <c r="L38" s="88">
        <f>IF(COUNTA($K$30:$K$78)=0,0,COUNTA($K$30:K38)/COUNTA($K$30:$K$78))</f>
        <v>0</v>
      </c>
      <c r="M38" s="88">
        <f t="shared" si="0"/>
        <v>0</v>
      </c>
      <c r="N38" s="88">
        <f t="shared" si="1"/>
        <v>0</v>
      </c>
      <c r="O38" s="87"/>
      <c r="P38" s="88">
        <f>SUM(O$30:O38)</f>
        <v>0</v>
      </c>
    </row>
    <row r="39" spans="2:16" x14ac:dyDescent="0.3">
      <c r="B39" s="90">
        <v>9</v>
      </c>
      <c r="C39" s="202">
        <v>3.27E-2</v>
      </c>
      <c r="D39" s="88">
        <f>SUM(C$30:C39)</f>
        <v>0.29430000000000001</v>
      </c>
      <c r="E39" s="87"/>
      <c r="F39" s="88">
        <f>SUM(E$30:E39)</f>
        <v>0</v>
      </c>
      <c r="G39" s="87"/>
      <c r="H39" s="88">
        <f>SUM(G$30:G39)</f>
        <v>0</v>
      </c>
      <c r="I39" s="101">
        <f t="shared" si="2"/>
        <v>0</v>
      </c>
      <c r="J39" s="88">
        <f>SUM(I$30:I39)</f>
        <v>0</v>
      </c>
      <c r="K39" s="119"/>
      <c r="L39" s="88">
        <f>IF(COUNTA($K$30:$K$78)=0,0,COUNTA($K$30:K39)/COUNTA($K$30:$K$78))</f>
        <v>0</v>
      </c>
      <c r="M39" s="88">
        <f t="shared" si="0"/>
        <v>0</v>
      </c>
      <c r="N39" s="88">
        <f t="shared" si="1"/>
        <v>0</v>
      </c>
      <c r="O39" s="87"/>
      <c r="P39" s="88">
        <f>SUM(O$30:O39)</f>
        <v>0</v>
      </c>
    </row>
    <row r="40" spans="2:16" x14ac:dyDescent="0.3">
      <c r="B40" s="90">
        <v>10</v>
      </c>
      <c r="C40" s="202">
        <v>3.27E-2</v>
      </c>
      <c r="D40" s="88">
        <f>SUM(C$30:C40)</f>
        <v>0.32700000000000001</v>
      </c>
      <c r="E40" s="87"/>
      <c r="F40" s="88">
        <f>SUM(E$30:E40)</f>
        <v>0</v>
      </c>
      <c r="G40" s="87"/>
      <c r="H40" s="88">
        <f>SUM(G$30:G40)</f>
        <v>0</v>
      </c>
      <c r="I40" s="101">
        <f t="shared" si="2"/>
        <v>0</v>
      </c>
      <c r="J40" s="88">
        <f>SUM(I$30:I40)</f>
        <v>0</v>
      </c>
      <c r="K40" s="119"/>
      <c r="L40" s="88">
        <f>IF(COUNTA($K$30:$K$78)=0,0,COUNTA($K$30:K40)/COUNTA($K$30:$K$78))</f>
        <v>0</v>
      </c>
      <c r="M40" s="88">
        <f t="shared" si="0"/>
        <v>0</v>
      </c>
      <c r="N40" s="88">
        <f t="shared" si="1"/>
        <v>0</v>
      </c>
      <c r="O40" s="87"/>
      <c r="P40" s="88">
        <f>SUM(O$30:O40)</f>
        <v>0</v>
      </c>
    </row>
    <row r="41" spans="2:16" x14ac:dyDescent="0.3">
      <c r="B41" s="90">
        <v>11</v>
      </c>
      <c r="C41" s="202">
        <v>3.27E-2</v>
      </c>
      <c r="D41" s="88">
        <f>SUM(C$30:C41)</f>
        <v>0.35970000000000002</v>
      </c>
      <c r="E41" s="87"/>
      <c r="F41" s="88">
        <f>SUM(E$30:E41)</f>
        <v>0</v>
      </c>
      <c r="G41" s="87"/>
      <c r="H41" s="88">
        <f>SUM(G$30:G41)</f>
        <v>0</v>
      </c>
      <c r="I41" s="101">
        <f t="shared" si="2"/>
        <v>0</v>
      </c>
      <c r="J41" s="88">
        <f>SUM(I$30:I41)</f>
        <v>0</v>
      </c>
      <c r="K41" s="119"/>
      <c r="L41" s="88">
        <f>IF(COUNTA($K$30:$K$78)=0,0,COUNTA($K$30:K41)/COUNTA($K$30:$K$78))</f>
        <v>0</v>
      </c>
      <c r="M41" s="88">
        <f t="shared" si="0"/>
        <v>0</v>
      </c>
      <c r="N41" s="88">
        <f t="shared" si="1"/>
        <v>0</v>
      </c>
      <c r="O41" s="87"/>
      <c r="P41" s="88">
        <f>SUM(O$30:O41)</f>
        <v>0</v>
      </c>
    </row>
    <row r="42" spans="2:16" x14ac:dyDescent="0.3">
      <c r="B42" s="90">
        <v>12</v>
      </c>
      <c r="C42" s="202">
        <v>3.27E-2</v>
      </c>
      <c r="D42" s="88">
        <f>SUM(C$30:C42)</f>
        <v>0.39240000000000003</v>
      </c>
      <c r="E42" s="87"/>
      <c r="F42" s="88">
        <f>SUM(E$30:E42)</f>
        <v>0</v>
      </c>
      <c r="G42" s="87"/>
      <c r="H42" s="88">
        <f>SUM(G$30:G42)</f>
        <v>0</v>
      </c>
      <c r="I42" s="101">
        <f t="shared" si="2"/>
        <v>0</v>
      </c>
      <c r="J42" s="88">
        <f>SUM(I$30:I42)</f>
        <v>0</v>
      </c>
      <c r="K42" s="119"/>
      <c r="L42" s="88">
        <f>IF(COUNTA($K$30:$K$78)=0,0,COUNTA($K$30:K42)/COUNTA($K$30:$K$78))</f>
        <v>0</v>
      </c>
      <c r="M42" s="88">
        <f t="shared" si="0"/>
        <v>0</v>
      </c>
      <c r="N42" s="88">
        <f t="shared" si="1"/>
        <v>0</v>
      </c>
      <c r="O42" s="87"/>
      <c r="P42" s="88">
        <f>SUM(O$30:O42)</f>
        <v>0</v>
      </c>
    </row>
    <row r="43" spans="2:16" x14ac:dyDescent="0.3">
      <c r="B43" s="90">
        <v>13</v>
      </c>
      <c r="C43" s="202">
        <v>3.27E-2</v>
      </c>
      <c r="D43" s="88">
        <f>SUM(C$30:C43)</f>
        <v>0.42510000000000003</v>
      </c>
      <c r="E43" s="87"/>
      <c r="F43" s="88">
        <f>SUM(E$30:E43)</f>
        <v>0</v>
      </c>
      <c r="G43" s="87"/>
      <c r="H43" s="88">
        <f>SUM(G$30:G43)</f>
        <v>0</v>
      </c>
      <c r="I43" s="101">
        <f t="shared" si="2"/>
        <v>0</v>
      </c>
      <c r="J43" s="88">
        <f>SUM(I$30:I43)</f>
        <v>0</v>
      </c>
      <c r="K43" s="119"/>
      <c r="L43" s="88">
        <f>IF(COUNTA($K$30:$K$78)=0,0,COUNTA($K$30:K43)/COUNTA($K$30:$K$78))</f>
        <v>0</v>
      </c>
      <c r="M43" s="88">
        <f t="shared" si="0"/>
        <v>0</v>
      </c>
      <c r="N43" s="88">
        <f t="shared" si="1"/>
        <v>0</v>
      </c>
      <c r="O43" s="87"/>
      <c r="P43" s="88">
        <f>SUM(O$30:O43)</f>
        <v>0</v>
      </c>
    </row>
    <row r="44" spans="2:16" x14ac:dyDescent="0.3">
      <c r="B44" s="90">
        <v>14</v>
      </c>
      <c r="C44" s="202">
        <v>3.27E-2</v>
      </c>
      <c r="D44" s="88">
        <f>SUM(C$30:C44)</f>
        <v>0.45780000000000004</v>
      </c>
      <c r="E44" s="87"/>
      <c r="F44" s="88">
        <f>SUM(E$30:E44)</f>
        <v>0</v>
      </c>
      <c r="G44" s="87"/>
      <c r="H44" s="88">
        <f>SUM(G$30:G44)</f>
        <v>0</v>
      </c>
      <c r="I44" s="101">
        <f t="shared" si="2"/>
        <v>0</v>
      </c>
      <c r="J44" s="88">
        <f>SUM(I$30:I44)</f>
        <v>0</v>
      </c>
      <c r="K44" s="119"/>
      <c r="L44" s="88">
        <f>IF(COUNTA($K$30:$K$78)=0,0,COUNTA($K$30:K44)/COUNTA($K$30:$K$78))</f>
        <v>0</v>
      </c>
      <c r="M44" s="88">
        <f t="shared" si="0"/>
        <v>0</v>
      </c>
      <c r="N44" s="88">
        <f t="shared" si="1"/>
        <v>0</v>
      </c>
      <c r="O44" s="87"/>
      <c r="P44" s="88">
        <f>SUM(O$30:O44)</f>
        <v>0</v>
      </c>
    </row>
    <row r="45" spans="2:16" x14ac:dyDescent="0.3">
      <c r="B45" s="90">
        <v>15</v>
      </c>
      <c r="C45" s="202">
        <v>3.27E-2</v>
      </c>
      <c r="D45" s="88">
        <f>SUM(C$30:C45)</f>
        <v>0.49050000000000005</v>
      </c>
      <c r="E45" s="87"/>
      <c r="F45" s="88">
        <f>SUM(E$30:E45)</f>
        <v>0</v>
      </c>
      <c r="G45" s="87"/>
      <c r="H45" s="88">
        <f>SUM(G$30:G45)</f>
        <v>0</v>
      </c>
      <c r="I45" s="101">
        <f t="shared" si="2"/>
        <v>0</v>
      </c>
      <c r="J45" s="88">
        <f>SUM(I$30:I45)</f>
        <v>0</v>
      </c>
      <c r="K45" s="119"/>
      <c r="L45" s="88">
        <f>IF(COUNTA($K$30:$K$78)=0,0,COUNTA($K$30:K45)/COUNTA($K$30:$K$78))</f>
        <v>0</v>
      </c>
      <c r="M45" s="88">
        <f t="shared" si="0"/>
        <v>0</v>
      </c>
      <c r="N45" s="88">
        <f t="shared" si="1"/>
        <v>0</v>
      </c>
      <c r="O45" s="87"/>
      <c r="P45" s="88">
        <f>SUM(O$30:O45)</f>
        <v>0</v>
      </c>
    </row>
    <row r="46" spans="2:16" x14ac:dyDescent="0.3">
      <c r="B46" s="90">
        <v>16</v>
      </c>
      <c r="C46" s="202">
        <v>3.27E-2</v>
      </c>
      <c r="D46" s="88">
        <f>SUM(C$30:C46)</f>
        <v>0.5232</v>
      </c>
      <c r="E46" s="87"/>
      <c r="F46" s="88">
        <f>SUM(E$30:E46)</f>
        <v>0</v>
      </c>
      <c r="G46" s="87"/>
      <c r="H46" s="88">
        <f>SUM(G$30:G46)</f>
        <v>0</v>
      </c>
      <c r="I46" s="101">
        <f t="shared" si="2"/>
        <v>0</v>
      </c>
      <c r="J46" s="88">
        <f>SUM(I$30:I46)</f>
        <v>0</v>
      </c>
      <c r="K46" s="119"/>
      <c r="L46" s="88">
        <f>IF(COUNTA($K$30:$K$78)=0,0,COUNTA($K$30:K46)/COUNTA($K$30:$K$78))</f>
        <v>0</v>
      </c>
      <c r="M46" s="88">
        <f t="shared" si="0"/>
        <v>0</v>
      </c>
      <c r="N46" s="88">
        <f t="shared" si="1"/>
        <v>0</v>
      </c>
      <c r="O46" s="87"/>
      <c r="P46" s="88">
        <f>SUM(O$30:O46)</f>
        <v>0</v>
      </c>
    </row>
    <row r="47" spans="2:16" x14ac:dyDescent="0.3">
      <c r="B47" s="90">
        <v>17</v>
      </c>
      <c r="C47" s="202">
        <v>3.27E-2</v>
      </c>
      <c r="D47" s="88">
        <f>SUM(C$30:C47)</f>
        <v>0.55589999999999995</v>
      </c>
      <c r="E47" s="87"/>
      <c r="F47" s="88">
        <f>SUM(E$30:E47)</f>
        <v>0</v>
      </c>
      <c r="G47" s="87"/>
      <c r="H47" s="88">
        <f>SUM(G$30:G47)</f>
        <v>0</v>
      </c>
      <c r="I47" s="101">
        <f t="shared" si="2"/>
        <v>0</v>
      </c>
      <c r="J47" s="88">
        <f>SUM(I$30:I47)</f>
        <v>0</v>
      </c>
      <c r="K47" s="119"/>
      <c r="L47" s="88">
        <f>IF(COUNTA($K$30:$K$78)=0,0,COUNTA($K$30:K47)/COUNTA($K$30:$K$78))</f>
        <v>0</v>
      </c>
      <c r="M47" s="88">
        <f t="shared" si="0"/>
        <v>0</v>
      </c>
      <c r="N47" s="88">
        <f t="shared" si="1"/>
        <v>0</v>
      </c>
      <c r="O47" s="87"/>
      <c r="P47" s="88">
        <f>SUM(O$30:O47)</f>
        <v>0</v>
      </c>
    </row>
    <row r="48" spans="2:16" x14ac:dyDescent="0.3">
      <c r="B48" s="90">
        <v>18</v>
      </c>
      <c r="C48" s="202">
        <v>3.27E-2</v>
      </c>
      <c r="D48" s="88">
        <f>SUM(C$30:C48)</f>
        <v>0.5885999999999999</v>
      </c>
      <c r="E48" s="87"/>
      <c r="F48" s="88">
        <f>SUM(E$30:E48)</f>
        <v>0</v>
      </c>
      <c r="G48" s="87"/>
      <c r="H48" s="88">
        <f>SUM(G$30:G48)</f>
        <v>0</v>
      </c>
      <c r="I48" s="101">
        <f t="shared" si="2"/>
        <v>0</v>
      </c>
      <c r="J48" s="88">
        <f>SUM(I$30:I48)</f>
        <v>0</v>
      </c>
      <c r="K48" s="119"/>
      <c r="L48" s="88">
        <f>IF(COUNTA($K$30:$K$78)=0,0,COUNTA($K$30:K48)/COUNTA($K$30:$K$78))</f>
        <v>0</v>
      </c>
      <c r="M48" s="88">
        <f t="shared" si="0"/>
        <v>0</v>
      </c>
      <c r="N48" s="88">
        <f t="shared" si="1"/>
        <v>0</v>
      </c>
      <c r="O48" s="87"/>
      <c r="P48" s="88">
        <f>SUM(O$30:O48)</f>
        <v>0</v>
      </c>
    </row>
    <row r="49" spans="2:16" x14ac:dyDescent="0.3">
      <c r="B49" s="90">
        <v>19</v>
      </c>
      <c r="C49" s="202">
        <v>3.27E-2</v>
      </c>
      <c r="D49" s="88">
        <f>SUM(C$30:C49)</f>
        <v>0.62129999999999985</v>
      </c>
      <c r="E49" s="87"/>
      <c r="F49" s="88">
        <f>SUM(E$30:E49)</f>
        <v>0</v>
      </c>
      <c r="G49" s="87"/>
      <c r="H49" s="88">
        <f>SUM(G$30:G49)</f>
        <v>0</v>
      </c>
      <c r="I49" s="101">
        <f t="shared" si="2"/>
        <v>0</v>
      </c>
      <c r="J49" s="88">
        <f>SUM(I$30:I49)</f>
        <v>0</v>
      </c>
      <c r="K49" s="119"/>
      <c r="L49" s="88">
        <f>IF(COUNTA($K$30:$K$78)=0,0,COUNTA($K$30:K49)/COUNTA($K$30:$K$78))</f>
        <v>0</v>
      </c>
      <c r="M49" s="88">
        <f t="shared" si="0"/>
        <v>0</v>
      </c>
      <c r="N49" s="88">
        <f t="shared" si="1"/>
        <v>0</v>
      </c>
      <c r="O49" s="87"/>
      <c r="P49" s="88">
        <f>SUM(O$30:O49)</f>
        <v>0</v>
      </c>
    </row>
    <row r="50" spans="2:16" x14ac:dyDescent="0.3">
      <c r="B50" s="90">
        <v>20</v>
      </c>
      <c r="C50" s="202">
        <v>3.27E-2</v>
      </c>
      <c r="D50" s="88">
        <f>SUM(C$30:C50)</f>
        <v>0.6539999999999998</v>
      </c>
      <c r="E50" s="87"/>
      <c r="F50" s="88">
        <f>SUM(E$30:E50)</f>
        <v>0</v>
      </c>
      <c r="G50" s="87"/>
      <c r="H50" s="88">
        <f>SUM(G$30:G50)</f>
        <v>0</v>
      </c>
      <c r="I50" s="101">
        <f t="shared" si="2"/>
        <v>0</v>
      </c>
      <c r="J50" s="88">
        <f>SUM(I$30:I50)</f>
        <v>0</v>
      </c>
      <c r="K50" s="119"/>
      <c r="L50" s="88">
        <f>IF(COUNTA($K$30:$K$78)=0,0,COUNTA($K$30:K50)/COUNTA($K$30:$K$78))</f>
        <v>0</v>
      </c>
      <c r="M50" s="88">
        <f t="shared" si="0"/>
        <v>0</v>
      </c>
      <c r="N50" s="88">
        <f t="shared" si="1"/>
        <v>0</v>
      </c>
      <c r="O50" s="87"/>
      <c r="P50" s="88">
        <f>SUM(O$30:O50)</f>
        <v>0</v>
      </c>
    </row>
    <row r="51" spans="2:16" x14ac:dyDescent="0.3">
      <c r="B51" s="90">
        <v>21</v>
      </c>
      <c r="C51" s="202">
        <v>3.27E-2</v>
      </c>
      <c r="D51" s="88">
        <f>SUM(C$30:C51)</f>
        <v>0.68669999999999976</v>
      </c>
      <c r="E51" s="87"/>
      <c r="F51" s="88">
        <f>SUM(E$30:E51)</f>
        <v>0</v>
      </c>
      <c r="G51" s="87"/>
      <c r="H51" s="88">
        <f>SUM(G$30:G51)</f>
        <v>0</v>
      </c>
      <c r="I51" s="101">
        <f t="shared" si="2"/>
        <v>0</v>
      </c>
      <c r="J51" s="88">
        <f>SUM(I$30:I51)</f>
        <v>0</v>
      </c>
      <c r="K51" s="119"/>
      <c r="L51" s="88">
        <f>IF(COUNTA($K$30:$K$78)=0,0,COUNTA($K$30:K51)/COUNTA($K$30:$K$78))</f>
        <v>0</v>
      </c>
      <c r="M51" s="88">
        <f t="shared" si="0"/>
        <v>0</v>
      </c>
      <c r="N51" s="88">
        <f t="shared" si="1"/>
        <v>0</v>
      </c>
      <c r="O51" s="87"/>
      <c r="P51" s="88">
        <f>SUM(O$30:O51)</f>
        <v>0</v>
      </c>
    </row>
    <row r="52" spans="2:16" x14ac:dyDescent="0.3">
      <c r="B52" s="90">
        <v>22</v>
      </c>
      <c r="C52" s="202">
        <v>3.27E-2</v>
      </c>
      <c r="D52" s="88">
        <f>SUM(C$30:C52)</f>
        <v>0.71939999999999971</v>
      </c>
      <c r="E52" s="87"/>
      <c r="F52" s="88">
        <f>SUM(E$30:E52)</f>
        <v>0</v>
      </c>
      <c r="G52" s="87"/>
      <c r="H52" s="88">
        <f>SUM(G$30:G52)</f>
        <v>0</v>
      </c>
      <c r="I52" s="101">
        <f t="shared" si="2"/>
        <v>0</v>
      </c>
      <c r="J52" s="88">
        <f>SUM(I$30:I52)</f>
        <v>0</v>
      </c>
      <c r="K52" s="119"/>
      <c r="L52" s="88">
        <f>IF(COUNTA($K$30:$K$78)=0,0,COUNTA($K$30:K52)/COUNTA($K$30:$K$78))</f>
        <v>0</v>
      </c>
      <c r="M52" s="88">
        <f t="shared" si="0"/>
        <v>0</v>
      </c>
      <c r="N52" s="88">
        <f t="shared" si="1"/>
        <v>0</v>
      </c>
      <c r="O52" s="87"/>
      <c r="P52" s="88">
        <f>SUM(O$30:O52)</f>
        <v>0</v>
      </c>
    </row>
    <row r="53" spans="2:16" x14ac:dyDescent="0.3">
      <c r="B53" s="90">
        <v>23</v>
      </c>
      <c r="C53" s="202">
        <v>3.27E-2</v>
      </c>
      <c r="D53" s="88">
        <f>SUM(C$30:C53)</f>
        <v>0.75209999999999966</v>
      </c>
      <c r="E53" s="87"/>
      <c r="F53" s="88">
        <f>SUM(E$30:E53)</f>
        <v>0</v>
      </c>
      <c r="G53" s="87"/>
      <c r="H53" s="88">
        <f>SUM(G$30:G53)</f>
        <v>0</v>
      </c>
      <c r="I53" s="101">
        <f t="shared" si="2"/>
        <v>0</v>
      </c>
      <c r="J53" s="88">
        <f>SUM(I$30:I53)</f>
        <v>0</v>
      </c>
      <c r="K53" s="119"/>
      <c r="L53" s="88">
        <f>IF(COUNTA($K$30:$K$78)=0,0,COUNTA($K$30:K53)/COUNTA($K$30:$K$78))</f>
        <v>0</v>
      </c>
      <c r="M53" s="88">
        <f t="shared" si="0"/>
        <v>0</v>
      </c>
      <c r="N53" s="88">
        <f t="shared" si="1"/>
        <v>0</v>
      </c>
      <c r="O53" s="87"/>
      <c r="P53" s="88">
        <f>SUM(O$30:O53)</f>
        <v>0</v>
      </c>
    </row>
    <row r="54" spans="2:16" x14ac:dyDescent="0.3">
      <c r="B54" s="90">
        <v>24</v>
      </c>
      <c r="C54" s="202">
        <v>3.27E-2</v>
      </c>
      <c r="D54" s="88">
        <f>SUM(C$30:C54)</f>
        <v>0.78479999999999961</v>
      </c>
      <c r="E54" s="87"/>
      <c r="F54" s="88">
        <f>SUM(E$30:E54)</f>
        <v>0</v>
      </c>
      <c r="G54" s="87"/>
      <c r="H54" s="88">
        <f>SUM(G$30:G54)</f>
        <v>0</v>
      </c>
      <c r="I54" s="101">
        <f t="shared" si="2"/>
        <v>0</v>
      </c>
      <c r="J54" s="88">
        <f>SUM(I$30:I54)</f>
        <v>0</v>
      </c>
      <c r="K54" s="119"/>
      <c r="L54" s="88">
        <f>IF(COUNTA($K$30:$K$78)=0,0,COUNTA($K$30:K54)/COUNTA($K$30:$K$78))</f>
        <v>0</v>
      </c>
      <c r="M54" s="88">
        <f t="shared" si="0"/>
        <v>0</v>
      </c>
      <c r="N54" s="88">
        <f t="shared" si="1"/>
        <v>0</v>
      </c>
      <c r="O54" s="87"/>
      <c r="P54" s="88">
        <f>SUM(O$30:O54)</f>
        <v>0</v>
      </c>
    </row>
    <row r="55" spans="2:16" x14ac:dyDescent="0.3">
      <c r="B55" s="90">
        <v>25</v>
      </c>
      <c r="C55" s="202">
        <v>3.27E-2</v>
      </c>
      <c r="D55" s="88">
        <f>SUM(C$30:C55)</f>
        <v>0.81749999999999956</v>
      </c>
      <c r="E55" s="87"/>
      <c r="F55" s="88">
        <f>SUM(E$30:E55)</f>
        <v>0</v>
      </c>
      <c r="G55" s="87"/>
      <c r="H55" s="88">
        <f>SUM(G$30:G55)</f>
        <v>0</v>
      </c>
      <c r="I55" s="101">
        <f t="shared" si="2"/>
        <v>0</v>
      </c>
      <c r="J55" s="88">
        <f>SUM(I$30:I55)</f>
        <v>0</v>
      </c>
      <c r="K55" s="119"/>
      <c r="L55" s="88">
        <f>IF(COUNTA($K$30:$K$78)=0,0,COUNTA($K$30:K55)/COUNTA($K$30:$K$78))</f>
        <v>0</v>
      </c>
      <c r="M55" s="88">
        <f t="shared" si="0"/>
        <v>0</v>
      </c>
      <c r="N55" s="88">
        <f t="shared" si="1"/>
        <v>0</v>
      </c>
      <c r="O55" s="87"/>
      <c r="P55" s="88">
        <f>SUM(O$30:O55)</f>
        <v>0</v>
      </c>
    </row>
    <row r="56" spans="2:16" x14ac:dyDescent="0.3">
      <c r="B56" s="90">
        <v>26</v>
      </c>
      <c r="C56" s="202">
        <v>3.27E-2</v>
      </c>
      <c r="D56" s="88">
        <f>SUM(C$30:C56)</f>
        <v>0.85019999999999951</v>
      </c>
      <c r="E56" s="87"/>
      <c r="F56" s="88">
        <f>SUM(E$30:E56)</f>
        <v>0</v>
      </c>
      <c r="G56" s="87"/>
      <c r="H56" s="88">
        <f>SUM(G$30:G56)</f>
        <v>0</v>
      </c>
      <c r="I56" s="101">
        <f t="shared" si="2"/>
        <v>0</v>
      </c>
      <c r="J56" s="88">
        <f>SUM(I$30:I56)</f>
        <v>0</v>
      </c>
      <c r="K56" s="119"/>
      <c r="L56" s="88">
        <f>IF(COUNTA($K$30:$K$78)=0,0,COUNTA($K$30:K56)/COUNTA($K$30:$K$78))</f>
        <v>0</v>
      </c>
      <c r="M56" s="88">
        <f t="shared" si="0"/>
        <v>0</v>
      </c>
      <c r="N56" s="88">
        <f t="shared" si="1"/>
        <v>0</v>
      </c>
      <c r="O56" s="87"/>
      <c r="P56" s="88">
        <f>SUM(O$30:O56)</f>
        <v>0</v>
      </c>
    </row>
    <row r="57" spans="2:16" x14ac:dyDescent="0.3">
      <c r="B57" s="90">
        <v>27</v>
      </c>
      <c r="C57" s="202">
        <v>3.27E-2</v>
      </c>
      <c r="D57" s="88">
        <f>SUM(C$30:C57)</f>
        <v>0.88289999999999946</v>
      </c>
      <c r="E57" s="87"/>
      <c r="F57" s="88">
        <f>SUM(E$30:E57)</f>
        <v>0</v>
      </c>
      <c r="G57" s="87"/>
      <c r="H57" s="88">
        <f>SUM(G$30:G57)</f>
        <v>0</v>
      </c>
      <c r="I57" s="101">
        <f t="shared" si="2"/>
        <v>0</v>
      </c>
      <c r="J57" s="88">
        <f>SUM(I$30:I57)</f>
        <v>0</v>
      </c>
      <c r="K57" s="119"/>
      <c r="L57" s="88">
        <f>IF(COUNTA($K$30:$K$78)=0,0,COUNTA($K$30:K57)/COUNTA($K$30:$K$78))</f>
        <v>0</v>
      </c>
      <c r="M57" s="88">
        <f t="shared" si="0"/>
        <v>0</v>
      </c>
      <c r="N57" s="88">
        <f t="shared" si="1"/>
        <v>0</v>
      </c>
      <c r="O57" s="87"/>
      <c r="P57" s="88">
        <f>SUM(O$30:O57)</f>
        <v>0</v>
      </c>
    </row>
    <row r="58" spans="2:16" x14ac:dyDescent="0.3">
      <c r="B58" s="90">
        <v>28</v>
      </c>
      <c r="C58" s="202">
        <v>3.27E-2</v>
      </c>
      <c r="D58" s="88">
        <f>SUM(C$30:C58)</f>
        <v>0.91559999999999941</v>
      </c>
      <c r="E58" s="87"/>
      <c r="F58" s="88">
        <f>SUM(E$30:E58)</f>
        <v>0</v>
      </c>
      <c r="G58" s="87"/>
      <c r="H58" s="88">
        <f>SUM(G$30:G58)</f>
        <v>0</v>
      </c>
      <c r="I58" s="101">
        <f t="shared" si="2"/>
        <v>0</v>
      </c>
      <c r="J58" s="88">
        <f>SUM(I$30:I58)</f>
        <v>0</v>
      </c>
      <c r="K58" s="119"/>
      <c r="L58" s="88">
        <f>IF(COUNTA($K$30:$K$78)=0,0,COUNTA($K$30:K58)/COUNTA($K$30:$K$78))</f>
        <v>0</v>
      </c>
      <c r="M58" s="88">
        <f t="shared" si="0"/>
        <v>0</v>
      </c>
      <c r="N58" s="88">
        <f t="shared" si="1"/>
        <v>0</v>
      </c>
      <c r="O58" s="87"/>
      <c r="P58" s="88">
        <f>SUM(O$30:O58)</f>
        <v>0</v>
      </c>
    </row>
    <row r="59" spans="2:16" x14ac:dyDescent="0.3">
      <c r="B59" s="90">
        <v>29</v>
      </c>
      <c r="C59" s="202">
        <v>3.44E-2</v>
      </c>
      <c r="D59" s="88">
        <f>SUM(C$30:C59)</f>
        <v>0.9499999999999994</v>
      </c>
      <c r="E59" s="87"/>
      <c r="F59" s="88">
        <f>SUM(E$30:E59)</f>
        <v>0</v>
      </c>
      <c r="G59" s="87"/>
      <c r="H59" s="88">
        <f>SUM(G$30:G59)</f>
        <v>0</v>
      </c>
      <c r="I59" s="101">
        <f t="shared" si="2"/>
        <v>0</v>
      </c>
      <c r="J59" s="88">
        <f>SUM(I$30:I59)</f>
        <v>0</v>
      </c>
      <c r="K59" s="119" t="s">
        <v>874</v>
      </c>
      <c r="L59" s="88">
        <f>IF(COUNTA($K$30:$K$78)=0,0,COUNTA($K$30:K59)/COUNTA($K$30:$K$78))</f>
        <v>1</v>
      </c>
      <c r="M59" s="88">
        <f>IF(L59&gt;=100%,5%,IF(N58&gt;=95%,0,IF(J59&lt;=95%,I59,(I59-(J59-95%)))))</f>
        <v>0.05</v>
      </c>
      <c r="N59" s="88">
        <f t="shared" si="1"/>
        <v>0</v>
      </c>
      <c r="O59" s="87"/>
      <c r="P59" s="88">
        <f>SUM(O$30:O59)</f>
        <v>0</v>
      </c>
    </row>
    <row r="60" spans="2:16" x14ac:dyDescent="0.3">
      <c r="B60" s="90">
        <v>30</v>
      </c>
      <c r="C60" s="202">
        <v>0.05</v>
      </c>
      <c r="D60" s="88">
        <f>SUM(C$30:C60)</f>
        <v>0.99999999999999944</v>
      </c>
      <c r="E60" s="87"/>
      <c r="F60" s="88">
        <f>SUM(E$30:E60)</f>
        <v>0</v>
      </c>
      <c r="G60" s="87"/>
      <c r="H60" s="88">
        <f>SUM(G$30:G60)</f>
        <v>0</v>
      </c>
      <c r="I60" s="101">
        <f t="shared" si="2"/>
        <v>0</v>
      </c>
      <c r="J60" s="88">
        <f>SUM(I$30:I60)</f>
        <v>0</v>
      </c>
      <c r="K60" s="119"/>
      <c r="L60" s="88">
        <f>IF(COUNTA($K$30:$K$78)=0,0,COUNTA($K$30:K60)/COUNTA($K$30:$K$78))</f>
        <v>1</v>
      </c>
      <c r="M60" s="88">
        <f t="shared" si="0"/>
        <v>0.05</v>
      </c>
      <c r="N60" s="88">
        <f t="shared" si="1"/>
        <v>0</v>
      </c>
      <c r="O60" s="87"/>
      <c r="P60" s="88">
        <f>SUM(O$30:O60)</f>
        <v>0</v>
      </c>
    </row>
    <row r="61" spans="2:16" x14ac:dyDescent="0.3">
      <c r="B61" s="90">
        <v>31</v>
      </c>
      <c r="C61" s="202"/>
      <c r="D61" s="88">
        <f>SUM(C$30:C61)</f>
        <v>0.99999999999999944</v>
      </c>
      <c r="E61" s="87"/>
      <c r="F61" s="88">
        <f>SUM(E$30:E61)</f>
        <v>0</v>
      </c>
      <c r="G61" s="87"/>
      <c r="H61" s="88">
        <f>SUM(G$30:G61)</f>
        <v>0</v>
      </c>
      <c r="I61" s="101">
        <f t="shared" si="2"/>
        <v>0</v>
      </c>
      <c r="J61" s="88">
        <f>SUM(I$30:I61)</f>
        <v>0</v>
      </c>
      <c r="K61" s="119"/>
      <c r="L61" s="88">
        <f>IF(COUNTA($K$30:$K$78)=0,0,COUNTA($K$30:K61)/COUNTA($K$30:$K$78))</f>
        <v>1</v>
      </c>
      <c r="M61" s="88">
        <f>IF(L61&gt;=100%,5%,IF(N60&gt;=95%,0,IF(J61&lt;=95%,I61,(I61-(J61-95%)))))</f>
        <v>0.05</v>
      </c>
      <c r="N61" s="88">
        <f t="shared" si="1"/>
        <v>0</v>
      </c>
      <c r="O61" s="87"/>
      <c r="P61" s="88">
        <f>SUM(O$30:O61)</f>
        <v>0</v>
      </c>
    </row>
    <row r="62" spans="2:16" x14ac:dyDescent="0.3">
      <c r="B62" s="90">
        <v>32</v>
      </c>
      <c r="C62" s="202"/>
      <c r="D62" s="88">
        <f>SUM(C$30:C62)</f>
        <v>0.99999999999999944</v>
      </c>
      <c r="E62" s="87"/>
      <c r="F62" s="88">
        <f>SUM(E$30:E62)</f>
        <v>0</v>
      </c>
      <c r="G62" s="87"/>
      <c r="H62" s="88">
        <f>SUM(G$30:G62)</f>
        <v>0</v>
      </c>
      <c r="I62" s="101">
        <f t="shared" si="2"/>
        <v>0</v>
      </c>
      <c r="J62" s="88">
        <f>SUM(I$30:I62)</f>
        <v>0</v>
      </c>
      <c r="K62" s="119"/>
      <c r="L62" s="88">
        <f>IF(COUNTA($K$30:$K$78)=0,0,COUNTA($K$30:K62)/COUNTA($K$30:$K$78))</f>
        <v>1</v>
      </c>
      <c r="M62" s="88">
        <f>IF(L62&gt;=100%,5%,IF(N61&gt;=95%,0,IF(J62&lt;=95%,I62,(I62-(J62-95%)))))</f>
        <v>0.05</v>
      </c>
      <c r="N62" s="88">
        <f t="shared" si="1"/>
        <v>0</v>
      </c>
      <c r="O62" s="87"/>
      <c r="P62" s="88">
        <f>SUM(O$30:O62)</f>
        <v>0</v>
      </c>
    </row>
    <row r="63" spans="2:16" x14ac:dyDescent="0.3">
      <c r="B63" s="90">
        <v>33</v>
      </c>
      <c r="C63" s="202"/>
      <c r="D63" s="88">
        <f>SUM(C$30:C63)</f>
        <v>0.99999999999999944</v>
      </c>
      <c r="E63" s="87"/>
      <c r="F63" s="88">
        <f>SUM(E$30:E63)</f>
        <v>0</v>
      </c>
      <c r="G63" s="87"/>
      <c r="H63" s="88">
        <f>SUM(G$30:G63)</f>
        <v>0</v>
      </c>
      <c r="I63" s="101">
        <f t="shared" si="2"/>
        <v>0</v>
      </c>
      <c r="J63" s="88">
        <f>SUM(I$30:I63)</f>
        <v>0</v>
      </c>
      <c r="K63" s="119"/>
      <c r="L63" s="88">
        <f>IF(COUNTA($K$30:$K$78)=0,0,COUNTA($K$30:K63)/COUNTA($K$30:$K$78))</f>
        <v>1</v>
      </c>
      <c r="M63" s="88">
        <f t="shared" ref="M63:M78" si="3">IF(L63&gt;=100%,5%,IF(N62&gt;=95%,0,IF(J63&lt;=95%,I63,(I63-(J63-95%)))))</f>
        <v>0.05</v>
      </c>
      <c r="N63" s="88">
        <f t="shared" si="1"/>
        <v>0</v>
      </c>
      <c r="O63" s="87"/>
      <c r="P63" s="88">
        <f>SUM(O$30:O63)</f>
        <v>0</v>
      </c>
    </row>
    <row r="64" spans="2:16" x14ac:dyDescent="0.3">
      <c r="B64" s="90">
        <v>34</v>
      </c>
      <c r="C64" s="202"/>
      <c r="D64" s="88">
        <f>SUM(C$30:C64)</f>
        <v>0.99999999999999944</v>
      </c>
      <c r="E64" s="87"/>
      <c r="F64" s="88">
        <f>SUM(E$30:E64)</f>
        <v>0</v>
      </c>
      <c r="G64" s="87"/>
      <c r="H64" s="88">
        <f>SUM(G$30:G64)</f>
        <v>0</v>
      </c>
      <c r="I64" s="101">
        <f t="shared" si="2"/>
        <v>0</v>
      </c>
      <c r="J64" s="88">
        <f>SUM(I$30:I64)</f>
        <v>0</v>
      </c>
      <c r="K64" s="119"/>
      <c r="L64" s="88">
        <f>IF(COUNTA($K$30:$K$78)=0,0,COUNTA($K$30:K64)/COUNTA($K$30:$K$78))</f>
        <v>1</v>
      </c>
      <c r="M64" s="88">
        <f t="shared" si="3"/>
        <v>0.05</v>
      </c>
      <c r="N64" s="88">
        <f t="shared" si="1"/>
        <v>0</v>
      </c>
      <c r="O64" s="87"/>
      <c r="P64" s="88">
        <f>SUM(O$30:O64)</f>
        <v>0</v>
      </c>
    </row>
    <row r="65" spans="2:16" x14ac:dyDescent="0.3">
      <c r="B65" s="90">
        <v>35</v>
      </c>
      <c r="C65" s="202"/>
      <c r="D65" s="88">
        <f>SUM(C$30:C65)</f>
        <v>0.99999999999999944</v>
      </c>
      <c r="E65" s="87"/>
      <c r="F65" s="88">
        <f>SUM(E$30:E65)</f>
        <v>0</v>
      </c>
      <c r="G65" s="87"/>
      <c r="H65" s="88">
        <f>SUM(G$30:G65)</f>
        <v>0</v>
      </c>
      <c r="I65" s="101">
        <f t="shared" si="2"/>
        <v>0</v>
      </c>
      <c r="J65" s="88">
        <f>SUM(I$30:I65)</f>
        <v>0</v>
      </c>
      <c r="K65" s="119"/>
      <c r="L65" s="88">
        <f>IF(COUNTA($K$30:$K$78)=0,0,COUNTA($K$30:K65)/COUNTA($K$30:$K$78))</f>
        <v>1</v>
      </c>
      <c r="M65" s="88">
        <f t="shared" si="3"/>
        <v>0.05</v>
      </c>
      <c r="N65" s="88">
        <f t="shared" si="1"/>
        <v>0</v>
      </c>
      <c r="O65" s="87"/>
      <c r="P65" s="88">
        <f>SUM(O$30:O65)</f>
        <v>0</v>
      </c>
    </row>
    <row r="66" spans="2:16" x14ac:dyDescent="0.3">
      <c r="B66" s="90">
        <v>36</v>
      </c>
      <c r="C66" s="202"/>
      <c r="D66" s="88">
        <f>SUM(C$30:C66)</f>
        <v>0.99999999999999944</v>
      </c>
      <c r="E66" s="87"/>
      <c r="F66" s="88">
        <f>SUM(E$30:E66)</f>
        <v>0</v>
      </c>
      <c r="G66" s="87"/>
      <c r="H66" s="88">
        <f>SUM(G$30:G66)</f>
        <v>0</v>
      </c>
      <c r="I66" s="101">
        <f t="shared" si="2"/>
        <v>0</v>
      </c>
      <c r="J66" s="88">
        <f>SUM(I$30:I66)</f>
        <v>0</v>
      </c>
      <c r="K66" s="119"/>
      <c r="L66" s="88">
        <f>IF(COUNTA($K$30:$K$78)=0,0,COUNTA($K$30:K66)/COUNTA($K$30:$K$78))</f>
        <v>1</v>
      </c>
      <c r="M66" s="88">
        <f t="shared" si="3"/>
        <v>0.05</v>
      </c>
      <c r="N66" s="88">
        <f t="shared" si="1"/>
        <v>0</v>
      </c>
      <c r="O66" s="87"/>
      <c r="P66" s="88">
        <f>SUM(O$30:O66)</f>
        <v>0</v>
      </c>
    </row>
    <row r="67" spans="2:16" x14ac:dyDescent="0.3">
      <c r="B67" s="90">
        <v>37</v>
      </c>
      <c r="C67" s="87"/>
      <c r="D67" s="88">
        <f>SUM(C$30:C67)</f>
        <v>0.99999999999999944</v>
      </c>
      <c r="E67" s="87"/>
      <c r="F67" s="88">
        <f>SUM(E$30:E67)</f>
        <v>0</v>
      </c>
      <c r="G67" s="87"/>
      <c r="H67" s="88">
        <f>SUM(G$30:G67)</f>
        <v>0</v>
      </c>
      <c r="I67" s="101">
        <f t="shared" si="2"/>
        <v>0</v>
      </c>
      <c r="J67" s="88">
        <f>SUM(I$30:I67)</f>
        <v>0</v>
      </c>
      <c r="K67" s="119"/>
      <c r="L67" s="88">
        <f>IF(COUNTA($K$30:$K$78)=0,0,COUNTA($K$30:K67)/COUNTA($K$30:$K$78))</f>
        <v>1</v>
      </c>
      <c r="M67" s="88">
        <f t="shared" si="3"/>
        <v>0.05</v>
      </c>
      <c r="N67" s="88">
        <f t="shared" si="1"/>
        <v>0</v>
      </c>
      <c r="O67" s="87"/>
      <c r="P67" s="88">
        <f>SUM(O$30:O67)</f>
        <v>0</v>
      </c>
    </row>
    <row r="68" spans="2:16" x14ac:dyDescent="0.3">
      <c r="B68" s="90">
        <v>38</v>
      </c>
      <c r="C68" s="87"/>
      <c r="D68" s="88">
        <f>SUM(C$30:C68)</f>
        <v>0.99999999999999944</v>
      </c>
      <c r="E68" s="87"/>
      <c r="F68" s="88">
        <f>SUM(E$30:E68)</f>
        <v>0</v>
      </c>
      <c r="G68" s="87"/>
      <c r="H68" s="88">
        <f>SUM(G$30:G68)</f>
        <v>0</v>
      </c>
      <c r="I68" s="101">
        <f t="shared" si="2"/>
        <v>0</v>
      </c>
      <c r="J68" s="88">
        <f>SUM(I$30:I68)</f>
        <v>0</v>
      </c>
      <c r="K68" s="119"/>
      <c r="L68" s="88">
        <f>IF(COUNTA($K$30:$K$78)=0,0,COUNTA($K$30:K68)/COUNTA($K$30:$K$78))</f>
        <v>1</v>
      </c>
      <c r="M68" s="88">
        <f t="shared" si="3"/>
        <v>0.05</v>
      </c>
      <c r="N68" s="88">
        <f t="shared" si="1"/>
        <v>0</v>
      </c>
      <c r="O68" s="87"/>
      <c r="P68" s="88">
        <f>SUM(O$30:O68)</f>
        <v>0</v>
      </c>
    </row>
    <row r="69" spans="2:16" x14ac:dyDescent="0.3">
      <c r="B69" s="90">
        <v>39</v>
      </c>
      <c r="C69" s="87"/>
      <c r="D69" s="88">
        <f>SUM(C$30:C69)</f>
        <v>0.99999999999999944</v>
      </c>
      <c r="E69" s="87"/>
      <c r="F69" s="88">
        <f>SUM(E$30:E69)</f>
        <v>0</v>
      </c>
      <c r="G69" s="87"/>
      <c r="H69" s="88">
        <f>SUM(G$30:G69)</f>
        <v>0</v>
      </c>
      <c r="I69" s="101">
        <f t="shared" si="2"/>
        <v>0</v>
      </c>
      <c r="J69" s="88">
        <f>SUM(I$30:I69)</f>
        <v>0</v>
      </c>
      <c r="K69" s="119"/>
      <c r="L69" s="88">
        <f>IF(COUNTA($K$30:$K$78)=0,0,COUNTA($K$30:K69)/COUNTA($K$30:$K$78))</f>
        <v>1</v>
      </c>
      <c r="M69" s="88">
        <f t="shared" si="3"/>
        <v>0.05</v>
      </c>
      <c r="N69" s="88">
        <f t="shared" si="1"/>
        <v>0</v>
      </c>
      <c r="O69" s="87"/>
      <c r="P69" s="88">
        <f>SUM(O$30:O69)</f>
        <v>0</v>
      </c>
    </row>
    <row r="70" spans="2:16" x14ac:dyDescent="0.3">
      <c r="B70" s="90">
        <v>40</v>
      </c>
      <c r="C70" s="87"/>
      <c r="D70" s="88">
        <f>SUM(C$30:C70)</f>
        <v>0.99999999999999944</v>
      </c>
      <c r="E70" s="87"/>
      <c r="F70" s="88">
        <f>SUM(E$30:E70)</f>
        <v>0</v>
      </c>
      <c r="G70" s="87"/>
      <c r="H70" s="88">
        <f>SUM(G$30:G70)</f>
        <v>0</v>
      </c>
      <c r="I70" s="101">
        <f t="shared" si="2"/>
        <v>0</v>
      </c>
      <c r="J70" s="88">
        <f>SUM(I$30:I70)</f>
        <v>0</v>
      </c>
      <c r="K70" s="119"/>
      <c r="L70" s="88">
        <f>IF(COUNTA($K$30:$K$78)=0,0,COUNTA($K$30:K70)/COUNTA($K$30:$K$78))</f>
        <v>1</v>
      </c>
      <c r="M70" s="88">
        <f t="shared" si="3"/>
        <v>0.05</v>
      </c>
      <c r="N70" s="88">
        <f t="shared" si="1"/>
        <v>0</v>
      </c>
      <c r="O70" s="87"/>
      <c r="P70" s="88">
        <f>SUM(O$30:O70)</f>
        <v>0</v>
      </c>
    </row>
    <row r="71" spans="2:16" x14ac:dyDescent="0.3">
      <c r="B71" s="90">
        <v>41</v>
      </c>
      <c r="C71" s="87"/>
      <c r="D71" s="88">
        <f>SUM(C$30:C71)</f>
        <v>0.99999999999999944</v>
      </c>
      <c r="E71" s="87"/>
      <c r="F71" s="88">
        <f>SUM(E$30:E71)</f>
        <v>0</v>
      </c>
      <c r="G71" s="87"/>
      <c r="H71" s="88">
        <f>SUM(G$30:G71)</f>
        <v>0</v>
      </c>
      <c r="I71" s="101">
        <f t="shared" si="2"/>
        <v>0</v>
      </c>
      <c r="J71" s="88">
        <f>SUM(I$30:I71)</f>
        <v>0</v>
      </c>
      <c r="K71" s="119"/>
      <c r="L71" s="88">
        <f>IF(COUNTA($K$30:$K$78)=0,0,COUNTA($K$30:K71)/COUNTA($K$30:$K$78))</f>
        <v>1</v>
      </c>
      <c r="M71" s="88">
        <f t="shared" si="3"/>
        <v>0.05</v>
      </c>
      <c r="N71" s="88">
        <f t="shared" si="1"/>
        <v>0</v>
      </c>
      <c r="O71" s="87"/>
      <c r="P71" s="88">
        <f>SUM(O$30:O71)</f>
        <v>0</v>
      </c>
    </row>
    <row r="72" spans="2:16" x14ac:dyDescent="0.3">
      <c r="B72" s="90">
        <v>42</v>
      </c>
      <c r="C72" s="87"/>
      <c r="D72" s="88">
        <f>SUM(C$30:C72)</f>
        <v>0.99999999999999944</v>
      </c>
      <c r="E72" s="87"/>
      <c r="F72" s="88">
        <f>SUM(E$30:E72)</f>
        <v>0</v>
      </c>
      <c r="G72" s="87"/>
      <c r="H72" s="88">
        <f>SUM(G$30:G72)</f>
        <v>0</v>
      </c>
      <c r="I72" s="101">
        <f t="shared" si="2"/>
        <v>0</v>
      </c>
      <c r="J72" s="88">
        <f>SUM(I$30:I72)</f>
        <v>0</v>
      </c>
      <c r="K72" s="119"/>
      <c r="L72" s="88">
        <f>IF(COUNTA($K$30:$K$78)=0,0,COUNTA($K$30:K72)/COUNTA($K$30:$K$78))</f>
        <v>1</v>
      </c>
      <c r="M72" s="88">
        <f t="shared" si="3"/>
        <v>0.05</v>
      </c>
      <c r="N72" s="88">
        <f t="shared" si="1"/>
        <v>0</v>
      </c>
      <c r="O72" s="87"/>
      <c r="P72" s="88">
        <f>SUM(O$30:O72)</f>
        <v>0</v>
      </c>
    </row>
    <row r="73" spans="2:16" x14ac:dyDescent="0.3">
      <c r="B73" s="90">
        <v>43</v>
      </c>
      <c r="C73" s="87"/>
      <c r="D73" s="88">
        <f>SUM(C$30:C73)</f>
        <v>0.99999999999999944</v>
      </c>
      <c r="E73" s="87"/>
      <c r="F73" s="88">
        <f>SUM(E$30:E73)</f>
        <v>0</v>
      </c>
      <c r="G73" s="87"/>
      <c r="H73" s="88">
        <f>SUM(G$30:G73)</f>
        <v>0</v>
      </c>
      <c r="I73" s="101">
        <f t="shared" si="2"/>
        <v>0</v>
      </c>
      <c r="J73" s="88">
        <f>SUM(I$30:I73)</f>
        <v>0</v>
      </c>
      <c r="K73" s="119"/>
      <c r="L73" s="88">
        <f>IF(COUNTA($K$30:$K$78)=0,0,COUNTA($K$30:K73)/COUNTA($K$30:$K$78))</f>
        <v>1</v>
      </c>
      <c r="M73" s="88">
        <f t="shared" si="3"/>
        <v>0.05</v>
      </c>
      <c r="N73" s="88">
        <f t="shared" si="1"/>
        <v>0</v>
      </c>
      <c r="O73" s="87"/>
      <c r="P73" s="88">
        <f>SUM(O$30:O73)</f>
        <v>0</v>
      </c>
    </row>
    <row r="74" spans="2:16" x14ac:dyDescent="0.3">
      <c r="B74" s="90">
        <v>44</v>
      </c>
      <c r="C74" s="87"/>
      <c r="D74" s="88">
        <f>SUM(C$30:C74)</f>
        <v>0.99999999999999944</v>
      </c>
      <c r="E74" s="87"/>
      <c r="F74" s="88">
        <f>SUM(E$30:E74)</f>
        <v>0</v>
      </c>
      <c r="G74" s="87"/>
      <c r="H74" s="88">
        <f>SUM(G$30:G74)</f>
        <v>0</v>
      </c>
      <c r="I74" s="101">
        <f t="shared" si="2"/>
        <v>0</v>
      </c>
      <c r="J74" s="88">
        <f>SUM(I$30:I74)</f>
        <v>0</v>
      </c>
      <c r="K74" s="119"/>
      <c r="L74" s="88">
        <f>IF(COUNTA($K$30:$K$78)=0,0,COUNTA($K$30:K74)/COUNTA($K$30:$K$78))</f>
        <v>1</v>
      </c>
      <c r="M74" s="88">
        <f t="shared" si="3"/>
        <v>0.05</v>
      </c>
      <c r="N74" s="88">
        <f t="shared" si="1"/>
        <v>0</v>
      </c>
      <c r="O74" s="87"/>
      <c r="P74" s="88">
        <f>SUM(O$30:O74)</f>
        <v>0</v>
      </c>
    </row>
    <row r="75" spans="2:16" x14ac:dyDescent="0.3">
      <c r="B75" s="90">
        <v>45</v>
      </c>
      <c r="C75" s="87"/>
      <c r="D75" s="88">
        <f>SUM(C$30:C75)</f>
        <v>0.99999999999999944</v>
      </c>
      <c r="E75" s="87"/>
      <c r="F75" s="88">
        <f>SUM(E$30:E75)</f>
        <v>0</v>
      </c>
      <c r="G75" s="87"/>
      <c r="H75" s="88">
        <f>SUM(G$30:G75)</f>
        <v>0</v>
      </c>
      <c r="I75" s="101">
        <f t="shared" si="2"/>
        <v>0</v>
      </c>
      <c r="J75" s="88">
        <f>SUM(I$30:I75)</f>
        <v>0</v>
      </c>
      <c r="K75" s="119"/>
      <c r="L75" s="88">
        <f>IF(COUNTA($K$30:$K$78)=0,0,COUNTA($K$30:K75)/COUNTA($K$30:$K$78))</f>
        <v>1</v>
      </c>
      <c r="M75" s="88">
        <f t="shared" si="3"/>
        <v>0.05</v>
      </c>
      <c r="N75" s="88">
        <f t="shared" si="1"/>
        <v>0</v>
      </c>
      <c r="O75" s="87"/>
      <c r="P75" s="88">
        <f>SUM(O$30:O75)</f>
        <v>0</v>
      </c>
    </row>
    <row r="76" spans="2:16" x14ac:dyDescent="0.3">
      <c r="B76" s="90">
        <v>46</v>
      </c>
      <c r="C76" s="87"/>
      <c r="D76" s="88">
        <f>SUM(C$30:C76)</f>
        <v>0.99999999999999944</v>
      </c>
      <c r="E76" s="87"/>
      <c r="F76" s="88">
        <f>SUM(E$30:E76)</f>
        <v>0</v>
      </c>
      <c r="G76" s="87"/>
      <c r="H76" s="88">
        <f>SUM(G$30:G76)</f>
        <v>0</v>
      </c>
      <c r="I76" s="101">
        <f t="shared" si="2"/>
        <v>0</v>
      </c>
      <c r="J76" s="88">
        <f>SUM(I$30:I76)</f>
        <v>0</v>
      </c>
      <c r="K76" s="119"/>
      <c r="L76" s="88">
        <f>IF(COUNTA($K$30:$K$78)=0,0,COUNTA($K$30:K76)/COUNTA($K$30:$K$78))</f>
        <v>1</v>
      </c>
      <c r="M76" s="88">
        <f t="shared" si="3"/>
        <v>0.05</v>
      </c>
      <c r="N76" s="88">
        <f t="shared" si="1"/>
        <v>0</v>
      </c>
      <c r="O76" s="87"/>
      <c r="P76" s="88">
        <f>SUM(O$30:O76)</f>
        <v>0</v>
      </c>
    </row>
    <row r="77" spans="2:16" x14ac:dyDescent="0.3">
      <c r="B77" s="90">
        <v>47</v>
      </c>
      <c r="C77" s="87"/>
      <c r="D77" s="88">
        <f>SUM(C$30:C77)</f>
        <v>0.99999999999999944</v>
      </c>
      <c r="E77" s="87"/>
      <c r="F77" s="88">
        <f>SUM(E$30:E77)</f>
        <v>0</v>
      </c>
      <c r="G77" s="87"/>
      <c r="H77" s="88">
        <f>SUM(G$30:G77)</f>
        <v>0</v>
      </c>
      <c r="I77" s="101">
        <f t="shared" si="2"/>
        <v>0</v>
      </c>
      <c r="J77" s="88">
        <f>SUM(I$30:I77)</f>
        <v>0</v>
      </c>
      <c r="K77" s="119"/>
      <c r="L77" s="88">
        <f>IF(COUNTA($K$30:$K$78)=0,0,COUNTA($K$30:K77)/COUNTA($K$30:$K$78))</f>
        <v>1</v>
      </c>
      <c r="M77" s="88">
        <f t="shared" si="3"/>
        <v>0.05</v>
      </c>
      <c r="N77" s="88">
        <f t="shared" si="1"/>
        <v>0</v>
      </c>
      <c r="O77" s="87"/>
      <c r="P77" s="88">
        <f>SUM(O$30:O77)</f>
        <v>0</v>
      </c>
    </row>
    <row r="78" spans="2:16" x14ac:dyDescent="0.3">
      <c r="B78" s="91">
        <v>48</v>
      </c>
      <c r="C78" s="92"/>
      <c r="D78" s="93">
        <f>SUM(C$30:C78)</f>
        <v>0.99999999999999944</v>
      </c>
      <c r="E78" s="92"/>
      <c r="F78" s="93">
        <f>SUM(E$30:E78)</f>
        <v>0</v>
      </c>
      <c r="G78" s="92"/>
      <c r="H78" s="93">
        <f>SUM(G$30:G78)</f>
        <v>0</v>
      </c>
      <c r="I78" s="102">
        <f t="shared" si="2"/>
        <v>0</v>
      </c>
      <c r="J78" s="93">
        <f>SUM(I$30:I78)</f>
        <v>0</v>
      </c>
      <c r="K78" s="120"/>
      <c r="L78" s="93">
        <f>IF(COUNTA($K$30:$K$78)=0,0,COUNTA($K$30:K78)/COUNTA($K$30:$K$78))</f>
        <v>1</v>
      </c>
      <c r="M78" s="88">
        <f t="shared" si="3"/>
        <v>0.05</v>
      </c>
      <c r="N78" s="93">
        <f t="shared" si="1"/>
        <v>0</v>
      </c>
      <c r="O78" s="92"/>
      <c r="P78" s="93">
        <f>SUM(O$30:O78)</f>
        <v>0</v>
      </c>
    </row>
    <row r="79" spans="2:16" x14ac:dyDescent="0.3">
      <c r="B79" s="20"/>
    </row>
    <row r="80" spans="2:16" x14ac:dyDescent="0.3">
      <c r="B80" s="20"/>
    </row>
    <row r="81" spans="2:2" x14ac:dyDescent="0.3">
      <c r="B81" s="20"/>
    </row>
    <row r="82" spans="2:2" x14ac:dyDescent="0.3">
      <c r="B82" s="20"/>
    </row>
    <row r="83" spans="2:2" x14ac:dyDescent="0.3">
      <c r="B83" s="20"/>
    </row>
    <row r="84" spans="2:2" x14ac:dyDescent="0.3">
      <c r="B84" s="20"/>
    </row>
    <row r="85" spans="2:2" x14ac:dyDescent="0.3">
      <c r="B85" s="20"/>
    </row>
    <row r="86" spans="2:2" x14ac:dyDescent="0.3">
      <c r="B86" s="20"/>
    </row>
    <row r="87" spans="2:2" x14ac:dyDescent="0.3">
      <c r="B87" s="20"/>
    </row>
  </sheetData>
  <mergeCells count="19">
    <mergeCell ref="J20:K20"/>
    <mergeCell ref="J21:K21"/>
    <mergeCell ref="K28:L28"/>
    <mergeCell ref="N1:O1"/>
    <mergeCell ref="N2:O2"/>
    <mergeCell ref="B28:B29"/>
    <mergeCell ref="O28:P28"/>
    <mergeCell ref="J25:K25"/>
    <mergeCell ref="J26:K26"/>
    <mergeCell ref="B19:C26"/>
    <mergeCell ref="I28:J28"/>
    <mergeCell ref="J23:K23"/>
    <mergeCell ref="C28:D28"/>
    <mergeCell ref="M28:N28"/>
    <mergeCell ref="E28:F28"/>
    <mergeCell ref="G28:H28"/>
    <mergeCell ref="J24:K24"/>
    <mergeCell ref="D17:E17"/>
    <mergeCell ref="J19:K19"/>
  </mergeCells>
  <phoneticPr fontId="25" type="noConversion"/>
  <conditionalFormatting sqref="B31:B78">
    <cfRule type="expression" dxfId="31" priority="195" stopIfTrue="1">
      <formula>AND(P31=100%,P30&lt;&gt;100%)</formula>
    </cfRule>
    <cfRule type="expression" dxfId="30" priority="196" stopIfTrue="1">
      <formula>AND(J31=100%,J30&lt;&gt;100%)</formula>
    </cfRule>
    <cfRule type="expression" dxfId="29" priority="197" stopIfTrue="1">
      <formula>AND(L31=100%,L30&lt;&gt;100%)</formula>
    </cfRule>
  </conditionalFormatting>
  <conditionalFormatting sqref="C30:C66">
    <cfRule type="expression" dxfId="28" priority="1" stopIfTrue="1">
      <formula>$D30=100%</formula>
    </cfRule>
  </conditionalFormatting>
  <conditionalFormatting sqref="C30:D78">
    <cfRule type="expression" dxfId="27" priority="2" stopIfTrue="1">
      <formula>$D29=100%</formula>
    </cfRule>
    <cfRule type="expression" dxfId="26" priority="3" stopIfTrue="1">
      <formula>$D30&gt;100</formula>
    </cfRule>
  </conditionalFormatting>
  <conditionalFormatting sqref="D17">
    <cfRule type="expression" dxfId="25" priority="80">
      <formula>TRIM(D17)&lt;"0"</formula>
    </cfRule>
  </conditionalFormatting>
  <conditionalFormatting sqref="E29:F29">
    <cfRule type="expression" dxfId="24" priority="178" stopIfTrue="1">
      <formula>AND($B$27="não",$C$27&lt;&gt;$D$27,$C$27&lt;&gt;$E$27)</formula>
    </cfRule>
  </conditionalFormatting>
  <conditionalFormatting sqref="E30:F78">
    <cfRule type="expression" dxfId="23" priority="187" stopIfTrue="1">
      <formula>OR(AND($B$27="não",$C$27&lt;&gt;$D$27,$C$27&lt;&gt;$E$27), $F29=100%)</formula>
    </cfRule>
    <cfRule type="expression" dxfId="22" priority="188" stopIfTrue="1">
      <formula>$F30&gt;100%</formula>
    </cfRule>
    <cfRule type="expression" dxfId="21" priority="189" stopIfTrue="1">
      <formula>$F30=100%</formula>
    </cfRule>
  </conditionalFormatting>
  <conditionalFormatting sqref="G28:H29">
    <cfRule type="expression" dxfId="20" priority="179" stopIfTrue="1">
      <formula>AND($C$27&lt;&gt;$D$27,$C$27&lt;&gt;$E$27,$C$27&gt;"0")</formula>
    </cfRule>
  </conditionalFormatting>
  <conditionalFormatting sqref="G30:H78">
    <cfRule type="expression" dxfId="19" priority="184" stopIfTrue="1">
      <formula>OR(AND($C$27&lt;&gt;$D$27,$C$27&lt;&gt;$E$27,$C$27&gt;"0"), $H29=100% )</formula>
    </cfRule>
    <cfRule type="expression" dxfId="18" priority="185" stopIfTrue="1">
      <formula>$H30&gt;100%</formula>
    </cfRule>
    <cfRule type="expression" dxfId="17" priority="186" stopIfTrue="1">
      <formula>$H30=100%</formula>
    </cfRule>
  </conditionalFormatting>
  <conditionalFormatting sqref="H17:O17">
    <cfRule type="expression" dxfId="16" priority="160">
      <formula>$D$17=$A$2</formula>
    </cfRule>
  </conditionalFormatting>
  <conditionalFormatting sqref="I30:J78">
    <cfRule type="expression" dxfId="15" priority="11" stopIfTrue="1">
      <formula>$J29=100%</formula>
    </cfRule>
    <cfRule type="expression" dxfId="14" priority="12" stopIfTrue="1">
      <formula>$J30&gt;100%</formula>
    </cfRule>
  </conditionalFormatting>
  <conditionalFormatting sqref="K30 K50:K78">
    <cfRule type="expression" dxfId="13" priority="180" stopIfTrue="1">
      <formula>$L30=100%</formula>
    </cfRule>
  </conditionalFormatting>
  <conditionalFormatting sqref="L30:L78">
    <cfRule type="expression" dxfId="12" priority="26" stopIfTrue="1">
      <formula>$L30&gt;100%</formula>
    </cfRule>
    <cfRule type="expression" dxfId="11" priority="27" stopIfTrue="1">
      <formula>$L29=100%</formula>
    </cfRule>
    <cfRule type="expression" dxfId="10" priority="28" stopIfTrue="1">
      <formula>$L30=100%</formula>
    </cfRule>
  </conditionalFormatting>
  <conditionalFormatting sqref="M55:M78">
    <cfRule type="expression" dxfId="9" priority="17" stopIfTrue="1">
      <formula>$L54=100%</formula>
    </cfRule>
    <cfRule type="expression" dxfId="8" priority="19" stopIfTrue="1">
      <formula>$L55&gt;100%</formula>
    </cfRule>
  </conditionalFormatting>
  <conditionalFormatting sqref="N30:N78">
    <cfRule type="expression" dxfId="7" priority="14" stopIfTrue="1">
      <formula>$N29=100%</formula>
    </cfRule>
    <cfRule type="expression" dxfId="6" priority="15" stopIfTrue="1">
      <formula>$N30&gt;100%</formula>
    </cfRule>
  </conditionalFormatting>
  <conditionalFormatting sqref="O28:P29">
    <cfRule type="expression" dxfId="5" priority="37">
      <formula>$J$23=0</formula>
    </cfRule>
  </conditionalFormatting>
  <conditionalFormatting sqref="O30:P30">
    <cfRule type="expression" dxfId="4" priority="192" stopIfTrue="1">
      <formula>OR($P29=100%,$J$23=0)</formula>
    </cfRule>
    <cfRule type="expression" dxfId="3" priority="193" stopIfTrue="1">
      <formula>$P30=100%</formula>
    </cfRule>
    <cfRule type="expression" dxfId="2" priority="194" stopIfTrue="1">
      <formula>$P30&gt;100%</formula>
    </cfRule>
  </conditionalFormatting>
  <conditionalFormatting sqref="O30:P78">
    <cfRule type="expression" dxfId="1" priority="190" stopIfTrue="1">
      <formula>OR($J$23=0,$P29=100%)</formula>
    </cfRule>
    <cfRule type="expression" dxfId="0" priority="191" stopIfTrue="1">
      <formula>$P30&gt;100%</formula>
    </cfRule>
  </conditionalFormatting>
  <dataValidations count="1">
    <dataValidation type="list" allowBlank="1" showInputMessage="1" showErrorMessage="1" sqref="D17:E17" xr:uid="{A7B06082-8D90-4009-BCFC-728A272EA56E}">
      <formula1>$A$1:$A$3</formula1>
    </dataValidation>
  </dataValidations>
  <printOptions horizontalCentered="1"/>
  <pageMargins left="0.51181102362204722" right="0.51181102362204722" top="0.78740157480314965" bottom="0.98425196850393704" header="0.31496062992125984" footer="0.31496062992125984"/>
  <pageSetup paperSize="9" scale="63" fitToHeight="0" orientation="portrait" horizontalDpi="4294967295" verticalDpi="4294967295" r:id="rId1"/>
  <headerFooter>
    <oddHeader>&amp;R&amp;"Arial,Normal"&amp;9V15_vigência 01.08.2022</oddHeader>
    <oddFooter>&amp;C&amp;8Página &amp;P de &amp;N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844E6855F17549A33DFB208F4313F8" ma:contentTypeVersion="16" ma:contentTypeDescription="Crie um novo documento." ma:contentTypeScope="" ma:versionID="f08f11335cb0fb9e81096deba336cb0c">
  <xsd:schema xmlns:xsd="http://www.w3.org/2001/XMLSchema" xmlns:xs="http://www.w3.org/2001/XMLSchema" xmlns:p="http://schemas.microsoft.com/office/2006/metadata/properties" xmlns:ns1="http://schemas.microsoft.com/sharepoint/v3" xmlns:ns2="71ed10ea-0296-489a-81f6-10bdefde05fd" xmlns:ns3="5586f595-ccd6-45ce-9490-0ddb8aaaf61c" targetNamespace="http://schemas.microsoft.com/office/2006/metadata/properties" ma:root="true" ma:fieldsID="2e453aa5d5d0958c5964eec1bbb582cc" ns1:_="" ns2:_="" ns3:_="">
    <xsd:import namespace="http://schemas.microsoft.com/sharepoint/v3"/>
    <xsd:import namespace="71ed10ea-0296-489a-81f6-10bdefde05fd"/>
    <xsd:import namespace="5586f595-ccd6-45ce-9490-0ddb8aaaf6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d10ea-0296-489a-81f6-10bdefde05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4faff722-0fb5-4c44-9338-8716c18793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86f595-ccd6-45ce-9490-0ddb8aaaf6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fff81e7-fed1-483e-8ed0-d22c9c9663b4}" ma:internalName="TaxCatchAll" ma:showField="CatchAllData" ma:web="5586f595-ccd6-45ce-9490-0ddb8aaaf6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1ed10ea-0296-489a-81f6-10bdefde05fd">
      <Terms xmlns="http://schemas.microsoft.com/office/infopath/2007/PartnerControls"/>
    </lcf76f155ced4ddcb4097134ff3c332f>
    <_ip_UnifiedCompliancePolicyProperties xmlns="http://schemas.microsoft.com/sharepoint/v3" xsi:nil="true"/>
    <TaxCatchAll xmlns="5586f595-ccd6-45ce-9490-0ddb8aaaf61c"/>
  </documentManagement>
</p:properties>
</file>

<file path=customXml/itemProps1.xml><?xml version="1.0" encoding="utf-8"?>
<ds:datastoreItem xmlns:ds="http://schemas.openxmlformats.org/officeDocument/2006/customXml" ds:itemID="{32F68385-A023-4E12-B241-59312BEC7302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82291295-9DA5-47A7-BC3A-1915DD52A2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ed10ea-0296-489a-81f6-10bdefde05fd"/>
    <ds:schemaRef ds:uri="5586f595-ccd6-45ce-9490-0ddb8aaaf6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A1E1BA-2079-46D0-AABD-EA65D7930A8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1C53012-60DF-4604-871C-6C2D9AA0C80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ed10ea-0296-489a-81f6-10bdefde05fd"/>
    <ds:schemaRef ds:uri="5586f595-ccd6-45ce-9490-0ddb8aaaf6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13</vt:i4>
      </vt:variant>
    </vt:vector>
  </HeadingPairs>
  <TitlesOfParts>
    <vt:vector size="20" baseType="lpstr">
      <vt:lpstr>Instruções</vt:lpstr>
      <vt:lpstr>FRE</vt:lpstr>
      <vt:lpstr>Orç_sintético_Hab</vt:lpstr>
      <vt:lpstr>Orç_analítico_Hab</vt:lpstr>
      <vt:lpstr>Orç_eventos_Infra</vt:lpstr>
      <vt:lpstr>Orç_analítico_Equipamen_Faixa_I</vt:lpstr>
      <vt:lpstr>Cronograma</vt:lpstr>
      <vt:lpstr>FRE!Area_de_impressao</vt:lpstr>
      <vt:lpstr>Orç_analítico_Equipamen_Faixa_I!Area_de_impressao</vt:lpstr>
      <vt:lpstr>Orç_analítico_Hab!Area_de_impressao</vt:lpstr>
      <vt:lpstr>Orç_eventos_Infra!Area_de_impressao</vt:lpstr>
      <vt:lpstr>Orç_sintético_Hab!Area_de_impressao</vt:lpstr>
      <vt:lpstr>INFRA</vt:lpstr>
      <vt:lpstr>MCMV</vt:lpstr>
      <vt:lpstr>módulo</vt:lpstr>
      <vt:lpstr>programa</vt:lpstr>
      <vt:lpstr>FRE!Titulos_de_impressao</vt:lpstr>
      <vt:lpstr>Orç_analítico_Equipamen_Faixa_I!Titulos_de_impressao</vt:lpstr>
      <vt:lpstr>Orç_analítico_Hab!Titulos_de_impressao</vt:lpstr>
      <vt:lpstr>Orç_eventos_Infra!Titulos_de_impressao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Caixa</dc:creator>
  <cp:lastModifiedBy>felipe guilherme berçan</cp:lastModifiedBy>
  <cp:lastPrinted>2025-02-25T19:00:52Z</cp:lastPrinted>
  <dcterms:created xsi:type="dcterms:W3CDTF">2014-05-05T19:49:01Z</dcterms:created>
  <dcterms:modified xsi:type="dcterms:W3CDTF">2026-06-19T14:15:29Z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S-1-22-1-0</vt:lpwstr>
  </property>
  <property fmtid="{D5CDD505-2E9C-101B-9397-08002B2CF9AE}" pid="3" name="Order">
    <vt:lpwstr>3318800.00000000</vt:lpwstr>
  </property>
  <property fmtid="{D5CDD505-2E9C-101B-9397-08002B2CF9AE}" pid="4" name="display_urn:schemas-microsoft-com:office:office#Author">
    <vt:lpwstr>S-1-22-1-0</vt:lpwstr>
  </property>
</Properties>
</file>